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01" codeName="{662AC1DA-710E-409A-AF98-282AFDE229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EP-Latest9 -26.07.20_All Time Offset\Template\"/>
    </mc:Choice>
  </mc:AlternateContent>
  <xr:revisionPtr revIDLastSave="0" documentId="13_ncr:1_{EDAF277A-2431-47EF-90CB-7B614316323E}" xr6:coauthVersionLast="45" xr6:coauthVersionMax="45" xr10:uidLastSave="{00000000-0000-0000-0000-000000000000}"/>
  <bookViews>
    <workbookView xWindow="-120" yWindow="-120" windowWidth="20730" windowHeight="11280" xr2:uid="{00000000-000D-0000-FFFF-FFFF00000000}"/>
  </bookViews>
  <sheets>
    <sheet name="Sheet1" sheetId="1" r:id="rId1"/>
    <sheet name="Sheet2" sheetId="2" r:id="rId2"/>
    <sheet name="Sheet3" sheetId="3" r:id="rId3"/>
  </sheets>
  <definedNames>
    <definedName name="_xlnm.Print_Area" localSheetId="0">Sheet1!$A$1:$S$71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7" i="1" l="1"/>
  <c r="E25" i="1"/>
  <c r="E26" i="1"/>
  <c r="G42" i="1" l="1"/>
  <c r="D42" i="1" l="1"/>
  <c r="D41" i="1"/>
  <c r="G41" i="1" s="1"/>
  <c r="B65" i="1" l="1"/>
  <c r="C65" i="1"/>
  <c r="D65" i="1"/>
  <c r="E65" i="1"/>
  <c r="F65" i="1"/>
  <c r="G65" i="1"/>
  <c r="E28" i="1"/>
  <c r="E24" i="1"/>
  <c r="D56" i="1" l="1"/>
  <c r="D55" i="1"/>
  <c r="D54" i="1"/>
  <c r="E53" i="1"/>
  <c r="E52" i="1"/>
  <c r="E61" i="1" s="1"/>
  <c r="D18" i="1"/>
  <c r="G18" i="1" s="1"/>
  <c r="D14" i="1"/>
  <c r="G14" i="1" s="1"/>
  <c r="D44" i="1"/>
  <c r="G44" i="1" s="1"/>
  <c r="D40" i="1"/>
  <c r="G40" i="1" s="1"/>
  <c r="D47" i="1"/>
  <c r="D48" i="1" s="1"/>
  <c r="G20" i="1"/>
  <c r="G19" i="1"/>
  <c r="G17" i="1"/>
  <c r="G16" i="1"/>
  <c r="G15" i="1"/>
  <c r="G21" i="1" l="1"/>
  <c r="E66" i="1" s="1"/>
  <c r="D67" i="1"/>
  <c r="F66" i="1"/>
  <c r="G66" i="1"/>
  <c r="C66" i="1"/>
  <c r="G67" i="1"/>
  <c r="D66" i="1"/>
  <c r="E67" i="1"/>
  <c r="F67" i="1"/>
  <c r="C67" i="1"/>
  <c r="G45" i="1"/>
  <c r="D49" i="1"/>
  <c r="D61" i="1" s="1"/>
  <c r="B66" i="1" l="1"/>
  <c r="B67" i="1"/>
  <c r="E54" i="1"/>
  <c r="F68" i="1"/>
  <c r="E55" i="1"/>
  <c r="G55" i="1" s="1"/>
  <c r="E56" i="1"/>
  <c r="G56" i="1" s="1"/>
  <c r="D68" i="1"/>
  <c r="G68" i="1"/>
  <c r="C68" i="1"/>
  <c r="E68" i="1"/>
  <c r="G61" i="1"/>
  <c r="D53" i="1"/>
  <c r="G53" i="1" s="1"/>
  <c r="D52" i="1"/>
  <c r="B68" i="1" l="1"/>
  <c r="G63" i="1"/>
  <c r="G64" i="1"/>
  <c r="G59" i="1"/>
  <c r="G54" i="1"/>
  <c r="G58" i="1"/>
  <c r="G52" i="1"/>
  <c r="K64" i="1" l="1"/>
  <c r="I64" i="1" s="1"/>
  <c r="K63" i="1"/>
  <c r="I63" i="1" s="1"/>
  <c r="G57" i="1"/>
  <c r="G62" i="1"/>
  <c r="K62" i="1" l="1"/>
  <c r="I62" i="1" s="1"/>
</calcChain>
</file>

<file path=xl/sharedStrings.xml><?xml version="1.0" encoding="utf-8"?>
<sst xmlns="http://schemas.openxmlformats.org/spreadsheetml/2006/main" count="114" uniqueCount="84">
  <si>
    <t>Type Setting</t>
  </si>
  <si>
    <t>Proof Reading</t>
  </si>
  <si>
    <t>Text Art Work</t>
  </si>
  <si>
    <t>Cover Designing</t>
  </si>
  <si>
    <t>Text Processing</t>
  </si>
  <si>
    <t>Cover Processing</t>
  </si>
  <si>
    <t>Other Cost</t>
  </si>
  <si>
    <t>Text Plates</t>
  </si>
  <si>
    <t>Cover Plates</t>
  </si>
  <si>
    <t>Text Printing</t>
  </si>
  <si>
    <t>Cover Printing</t>
  </si>
  <si>
    <t>Text Paper</t>
  </si>
  <si>
    <t>Cover Paper</t>
  </si>
  <si>
    <t>1 Color</t>
  </si>
  <si>
    <t>2 Color</t>
  </si>
  <si>
    <t>4 Color</t>
  </si>
  <si>
    <t>Plate</t>
  </si>
  <si>
    <t>Kg</t>
  </si>
  <si>
    <t>Page</t>
  </si>
  <si>
    <t>Design</t>
  </si>
  <si>
    <t>Cover</t>
  </si>
  <si>
    <t>Book</t>
  </si>
  <si>
    <t>Total Copies</t>
  </si>
  <si>
    <t>Book Price</t>
  </si>
  <si>
    <t>No.Of Pages</t>
  </si>
  <si>
    <t>Binding Type</t>
  </si>
  <si>
    <t>Size</t>
  </si>
  <si>
    <t>Printing Forms</t>
  </si>
  <si>
    <t>Binding Forms</t>
  </si>
  <si>
    <t>Qty</t>
  </si>
  <si>
    <t>Wastage</t>
  </si>
  <si>
    <t>Discount</t>
  </si>
  <si>
    <t>Complementry Copies</t>
  </si>
  <si>
    <t>Binding-Folding,Gathering</t>
  </si>
  <si>
    <t>-Packing &amp; Cartage</t>
  </si>
  <si>
    <t>-Per Book</t>
  </si>
  <si>
    <t>Copy</t>
  </si>
  <si>
    <t>Cost Sheet</t>
  </si>
  <si>
    <t>Cost A (Fixed Cost)</t>
  </si>
  <si>
    <t>Item</t>
  </si>
  <si>
    <t>Quantity</t>
  </si>
  <si>
    <t>Rate</t>
  </si>
  <si>
    <t>Per</t>
  </si>
  <si>
    <t>Amount</t>
  </si>
  <si>
    <t>Cost B (Variable Cost)</t>
  </si>
  <si>
    <t>NRV (Net Revenue Value)</t>
  </si>
  <si>
    <t>Net Profit-First Print</t>
  </si>
  <si>
    <t>Net Profit-Reprint</t>
  </si>
  <si>
    <t>Unit Cost-First Print</t>
  </si>
  <si>
    <t>Unit Cost-Reprint</t>
  </si>
  <si>
    <t>Authorised Signatory</t>
  </si>
  <si>
    <t>Total Cost A</t>
  </si>
  <si>
    <t>Lamination Type</t>
  </si>
  <si>
    <t>Profit Margin %</t>
  </si>
  <si>
    <t>Net Profit-Average</t>
  </si>
  <si>
    <t>Unit Cost-Average</t>
  </si>
  <si>
    <t>Office Expenses-First Print</t>
  </si>
  <si>
    <t>Office Expenses-Reprint</t>
  </si>
  <si>
    <t>Office Expenses-Average</t>
  </si>
  <si>
    <t>Total Production Cost-First Print</t>
  </si>
  <si>
    <t>Total Production Cost-Reprint</t>
  </si>
  <si>
    <t>Total Production Cost-Average</t>
  </si>
  <si>
    <t xml:space="preserve">Royalty </t>
  </si>
  <si>
    <t>Adjustments</t>
  </si>
  <si>
    <t>GST</t>
  </si>
  <si>
    <t>Total Cost B</t>
  </si>
  <si>
    <t>Combo Paper</t>
  </si>
  <si>
    <t>Combo Plates</t>
  </si>
  <si>
    <t>Combo Printing</t>
  </si>
  <si>
    <t>Item Details</t>
  </si>
  <si>
    <t>Item Name</t>
  </si>
  <si>
    <t>0.00</t>
  </si>
  <si>
    <t>-Cover Drawn/Centre Pin</t>
  </si>
  <si>
    <t>Binding-Folding,Gathering,Sewing</t>
  </si>
  <si>
    <t>Operations</t>
  </si>
  <si>
    <t>Calc Mode</t>
  </si>
  <si>
    <t>Elements</t>
  </si>
  <si>
    <t>Number</t>
  </si>
  <si>
    <t>Various Operations Cost B (Variable Cost)</t>
  </si>
  <si>
    <t>IMP Mathematics Three Diamentional Geometry</t>
  </si>
  <si>
    <t>CTP</t>
  </si>
  <si>
    <t>4+0 Color</t>
  </si>
  <si>
    <t>0</t>
  </si>
  <si>
    <t>Lamination/UV/Diecutting..etc. (Various Operations)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</si>
</sst>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######\ &quot;Pc&quot;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47">
    <xf numFmtId="0" fontId="0" fillId="0" borderId="0" xfId="0"/>
    <xf numFmtId="0" fontId="2" fillId="0" borderId="0" xfId="0" applyFont="1" applyFill="1" applyProtection="1"/>
    <xf numFmtId="0" fontId="4" fillId="0" borderId="0" xfId="0" applyFont="1" applyFill="1" applyProtection="1">
      <protection locked="0"/>
    </xf>
    <xf numFmtId="0" fontId="4" fillId="0" borderId="0" xfId="0" applyFont="1" applyFill="1" applyBorder="1" applyAlignment="1" applyProtection="1">
      <alignment horizontal="left"/>
    </xf>
    <xf numFmtId="0" fontId="5" fillId="0" borderId="1" xfId="0" applyFont="1" applyFill="1" applyBorder="1" applyAlignment="1" applyProtection="1">
      <alignment horizontal="right"/>
    </xf>
    <xf numFmtId="2" fontId="5" fillId="0" borderId="1" xfId="0" applyNumberFormat="1" applyFont="1" applyFill="1" applyBorder="1" applyAlignment="1" applyProtection="1">
      <alignment horizontal="right"/>
    </xf>
    <xf numFmtId="0" fontId="5" fillId="0" borderId="1" xfId="0" applyFont="1" applyFill="1" applyBorder="1" applyProtection="1"/>
    <xf numFmtId="0" fontId="2" fillId="0" borderId="1" xfId="0" applyFont="1" applyFill="1" applyBorder="1" applyProtection="1"/>
    <xf numFmtId="0" fontId="2" fillId="0" borderId="1" xfId="0" applyFont="1" applyFill="1" applyBorder="1" applyProtection="1">
      <protection locked="0"/>
    </xf>
    <xf numFmtId="0" fontId="5" fillId="0" borderId="0" xfId="0" applyFont="1" applyFill="1" applyBorder="1" applyAlignment="1" applyProtection="1">
      <alignment horizontal="left"/>
    </xf>
    <xf numFmtId="0" fontId="2" fillId="0" borderId="1" xfId="0" applyFont="1" applyFill="1" applyBorder="1" applyAlignment="1" applyProtection="1"/>
    <xf numFmtId="164" fontId="2" fillId="0" borderId="4" xfId="0" applyNumberFormat="1" applyFont="1" applyFill="1" applyBorder="1" applyAlignment="1" applyProtection="1"/>
    <xf numFmtId="164" fontId="2" fillId="0" borderId="1" xfId="0" applyNumberFormat="1" applyFont="1" applyFill="1" applyBorder="1" applyProtection="1"/>
    <xf numFmtId="2" fontId="4" fillId="0" borderId="0" xfId="0" applyNumberFormat="1" applyFont="1" applyFill="1" applyProtection="1">
      <protection locked="0"/>
    </xf>
    <xf numFmtId="1" fontId="2" fillId="0" borderId="1" xfId="0" applyNumberFormat="1" applyFont="1" applyFill="1" applyBorder="1" applyProtection="1"/>
    <xf numFmtId="2" fontId="2" fillId="0" borderId="1" xfId="0" applyNumberFormat="1" applyFont="1" applyFill="1" applyBorder="1" applyProtection="1"/>
    <xf numFmtId="2" fontId="4" fillId="0" borderId="1" xfId="0" applyNumberFormat="1" applyFont="1" applyFill="1" applyBorder="1" applyProtection="1"/>
    <xf numFmtId="1" fontId="4" fillId="0" borderId="0" xfId="0" applyNumberFormat="1" applyFont="1" applyFill="1" applyProtection="1">
      <protection locked="0"/>
    </xf>
    <xf numFmtId="0" fontId="2" fillId="0" borderId="0" xfId="0" applyFont="1" applyFill="1" applyBorder="1" applyProtection="1"/>
    <xf numFmtId="0" fontId="5" fillId="0" borderId="0" xfId="0" applyFont="1" applyFill="1" applyBorder="1" applyAlignment="1" applyProtection="1">
      <alignment horizontal="right"/>
    </xf>
    <xf numFmtId="1" fontId="2" fillId="0" borderId="1" xfId="1" applyNumberFormat="1" applyFont="1" applyFill="1" applyBorder="1" applyProtection="1"/>
    <xf numFmtId="0" fontId="2" fillId="0" borderId="0" xfId="0" applyFont="1" applyFill="1" applyBorder="1" applyAlignment="1" applyProtection="1">
      <alignment horizontal="left"/>
    </xf>
    <xf numFmtId="9" fontId="2" fillId="0" borderId="0" xfId="1" applyFont="1" applyFill="1" applyBorder="1" applyProtection="1"/>
    <xf numFmtId="2" fontId="4" fillId="0" borderId="0" xfId="0" applyNumberFormat="1" applyFont="1" applyFill="1" applyBorder="1" applyProtection="1"/>
    <xf numFmtId="1" fontId="5" fillId="0" borderId="1" xfId="0" applyNumberFormat="1" applyFont="1" applyFill="1" applyBorder="1" applyAlignment="1" applyProtection="1"/>
    <xf numFmtId="2" fontId="5" fillId="0" borderId="1" xfId="0" applyNumberFormat="1" applyFont="1" applyFill="1" applyBorder="1" applyAlignment="1" applyProtection="1"/>
    <xf numFmtId="0" fontId="5" fillId="0" borderId="1" xfId="0" applyFont="1" applyFill="1" applyBorder="1" applyAlignment="1" applyProtection="1"/>
    <xf numFmtId="0" fontId="4" fillId="0" borderId="0" xfId="0" applyFont="1" applyFill="1" applyAlignment="1" applyProtection="1">
      <alignment horizontal="left"/>
      <protection locked="0"/>
    </xf>
    <xf numFmtId="2" fontId="4" fillId="0" borderId="0" xfId="0" applyNumberFormat="1" applyFont="1" applyFill="1" applyAlignment="1" applyProtection="1">
      <alignment horizontal="right"/>
      <protection locked="0"/>
    </xf>
    <xf numFmtId="2" fontId="2" fillId="2" borderId="1" xfId="0" applyNumberFormat="1" applyFont="1" applyFill="1" applyBorder="1" applyProtection="1">
      <protection locked="0"/>
    </xf>
    <xf numFmtId="0" fontId="2" fillId="2" borderId="1" xfId="0" applyFont="1" applyFill="1" applyBorder="1" applyProtection="1">
      <protection locked="0"/>
    </xf>
    <xf numFmtId="10" fontId="2" fillId="2" borderId="1" xfId="1" applyNumberFormat="1" applyFont="1" applyFill="1" applyBorder="1" applyProtection="1">
      <protection locked="0"/>
    </xf>
    <xf numFmtId="10" fontId="2" fillId="2" borderId="1" xfId="1" applyNumberFormat="1" applyFont="1" applyFill="1" applyBorder="1" applyAlignment="1" applyProtection="1">
      <alignment horizontal="right"/>
      <protection locked="0"/>
    </xf>
    <xf numFmtId="9" fontId="5" fillId="0" borderId="1" xfId="1" applyFont="1" applyFill="1" applyBorder="1" applyProtection="1"/>
    <xf numFmtId="2" fontId="5" fillId="0" borderId="4" xfId="0" applyNumberFormat="1" applyFont="1" applyFill="1" applyBorder="1" applyAlignment="1" applyProtection="1"/>
    <xf numFmtId="2" fontId="5" fillId="0" borderId="4" xfId="0" applyNumberFormat="1" applyFont="1" applyFill="1" applyBorder="1" applyAlignment="1" applyProtection="1">
      <alignment horizontal="right"/>
    </xf>
    <xf numFmtId="9" fontId="5" fillId="0" borderId="0" xfId="1" applyFont="1" applyFill="1" applyBorder="1" applyProtection="1"/>
    <xf numFmtId="0" fontId="5" fillId="0" borderId="3" xfId="0" applyFont="1" applyFill="1" applyBorder="1" applyAlignment="1" applyProtection="1"/>
    <xf numFmtId="2" fontId="2" fillId="0" borderId="3" xfId="0" applyNumberFormat="1" applyFont="1" applyFill="1" applyBorder="1" applyAlignment="1" applyProtection="1"/>
    <xf numFmtId="2" fontId="2" fillId="0" borderId="4" xfId="0" applyNumberFormat="1" applyFont="1" applyFill="1" applyBorder="1" applyAlignment="1" applyProtection="1"/>
    <xf numFmtId="0" fontId="2" fillId="0" borderId="3" xfId="0" applyFont="1" applyFill="1" applyBorder="1" applyAlignment="1" applyProtection="1">
      <alignment horizontal="right"/>
    </xf>
    <xf numFmtId="165" fontId="4" fillId="0" borderId="1" xfId="0" applyNumberFormat="1" applyFont="1" applyFill="1" applyBorder="1" applyAlignment="1" applyProtection="1">
      <alignment horizontal="right"/>
    </xf>
    <xf numFmtId="49" fontId="2" fillId="0" borderId="1" xfId="0" applyNumberFormat="1" applyFont="1" applyFill="1" applyBorder="1" applyAlignment="1" applyProtection="1">
      <alignment horizontal="right"/>
    </xf>
    <xf numFmtId="165" fontId="5" fillId="0" borderId="4" xfId="0" applyNumberFormat="1" applyFont="1" applyFill="1" applyBorder="1" applyAlignment="1" applyProtection="1">
      <alignment horizontal="right"/>
    </xf>
    <xf numFmtId="165" fontId="5" fillId="0" borderId="1" xfId="0" applyNumberFormat="1" applyFont="1" applyFill="1" applyBorder="1" applyAlignment="1" applyProtection="1">
      <alignment horizontal="right"/>
    </xf>
    <xf numFmtId="0" fontId="2" fillId="0" borderId="1" xfId="0" applyFont="1" applyFill="1" applyBorder="1" applyAlignment="1" applyProtection="1">
      <alignment horizontal="left"/>
    </xf>
    <xf numFmtId="2" fontId="4" fillId="0" borderId="1" xfId="0" applyNumberFormat="1" applyFont="1" applyFill="1" applyBorder="1" applyProtection="1">
      <protection locked="0"/>
    </xf>
    <xf numFmtId="2" fontId="2" fillId="0" borderId="1" xfId="0" applyNumberFormat="1" applyFont="1" applyFill="1" applyBorder="1" applyProtection="1">
      <protection locked="0"/>
    </xf>
    <xf numFmtId="2" fontId="5" fillId="0" borderId="11" xfId="0" applyNumberFormat="1" applyFont="1" applyFill="1" applyBorder="1" applyAlignment="1" applyProtection="1">
      <alignment horizontal="right"/>
    </xf>
    <xf numFmtId="2" fontId="2" fillId="0" borderId="11" xfId="0" applyNumberFormat="1" applyFont="1" applyFill="1" applyBorder="1" applyAlignment="1" applyProtection="1">
      <alignment horizontal="right"/>
    </xf>
    <xf numFmtId="2" fontId="4" fillId="0" borderId="13" xfId="0" applyNumberFormat="1" applyFont="1" applyFill="1" applyBorder="1" applyProtection="1">
      <protection locked="0"/>
    </xf>
    <xf numFmtId="2" fontId="2" fillId="0" borderId="13" xfId="0" applyNumberFormat="1" applyFont="1" applyFill="1" applyBorder="1" applyProtection="1">
      <protection locked="0"/>
    </xf>
    <xf numFmtId="2" fontId="2" fillId="0" borderId="14" xfId="0" applyNumberFormat="1" applyFont="1" applyFill="1" applyBorder="1" applyAlignment="1" applyProtection="1">
      <alignment horizontal="right"/>
    </xf>
    <xf numFmtId="0" fontId="2" fillId="0" borderId="5" xfId="0" applyFont="1" applyFill="1" applyBorder="1" applyProtection="1"/>
    <xf numFmtId="0" fontId="2" fillId="0" borderId="3" xfId="0" applyFont="1" applyFill="1" applyBorder="1" applyProtection="1"/>
    <xf numFmtId="0" fontId="4" fillId="0" borderId="10" xfId="0" applyFont="1" applyFill="1" applyBorder="1" applyAlignment="1" applyProtection="1">
      <alignment horizontal="left"/>
    </xf>
    <xf numFmtId="165" fontId="4" fillId="0" borderId="11" xfId="0" applyNumberFormat="1" applyFont="1" applyFill="1" applyBorder="1" applyAlignment="1" applyProtection="1">
      <alignment horizontal="right"/>
    </xf>
    <xf numFmtId="0" fontId="4" fillId="0" borderId="18" xfId="0" applyFont="1" applyFill="1" applyBorder="1" applyAlignment="1" applyProtection="1">
      <alignment horizontal="left"/>
    </xf>
    <xf numFmtId="0" fontId="4" fillId="0" borderId="19" xfId="0" applyFont="1" applyFill="1" applyBorder="1" applyAlignment="1" applyProtection="1">
      <alignment horizontal="left"/>
    </xf>
    <xf numFmtId="0" fontId="5" fillId="0" borderId="18" xfId="0" applyFont="1" applyFill="1" applyBorder="1" applyAlignment="1" applyProtection="1">
      <alignment horizontal="left"/>
    </xf>
    <xf numFmtId="2" fontId="5" fillId="0" borderId="19" xfId="0" applyNumberFormat="1" applyFont="1" applyFill="1" applyBorder="1" applyAlignment="1" applyProtection="1">
      <alignment horizontal="right"/>
    </xf>
    <xf numFmtId="0" fontId="2" fillId="0" borderId="10" xfId="0" applyFont="1" applyFill="1" applyBorder="1" applyAlignment="1" applyProtection="1">
      <alignment horizontal="left"/>
    </xf>
    <xf numFmtId="2" fontId="4" fillId="0" borderId="11" xfId="0" applyNumberFormat="1" applyFont="1" applyFill="1" applyBorder="1" applyProtection="1"/>
    <xf numFmtId="0" fontId="5" fillId="0" borderId="20" xfId="0" applyFont="1" applyFill="1" applyBorder="1" applyAlignment="1" applyProtection="1"/>
    <xf numFmtId="2" fontId="2" fillId="0" borderId="11" xfId="0" applyNumberFormat="1" applyFont="1" applyFill="1" applyBorder="1" applyProtection="1"/>
    <xf numFmtId="0" fontId="2" fillId="0" borderId="18" xfId="0" applyFont="1" applyFill="1" applyBorder="1" applyAlignment="1" applyProtection="1">
      <alignment horizontal="left"/>
    </xf>
    <xf numFmtId="2" fontId="2" fillId="0" borderId="19" xfId="0" applyNumberFormat="1" applyFont="1" applyFill="1" applyBorder="1" applyProtection="1"/>
    <xf numFmtId="2" fontId="5" fillId="0" borderId="11" xfId="0" applyNumberFormat="1" applyFont="1" applyFill="1" applyBorder="1" applyAlignment="1" applyProtection="1"/>
    <xf numFmtId="2" fontId="5" fillId="0" borderId="11" xfId="0" applyNumberFormat="1" applyFont="1" applyFill="1" applyBorder="1" applyProtection="1"/>
    <xf numFmtId="0" fontId="5" fillId="0" borderId="10" xfId="0" applyFont="1" applyFill="1" applyBorder="1" applyAlignment="1" applyProtection="1">
      <alignment horizontal="left"/>
    </xf>
    <xf numFmtId="165" fontId="5" fillId="0" borderId="11" xfId="0" applyNumberFormat="1" applyFont="1" applyFill="1" applyBorder="1" applyAlignment="1" applyProtection="1">
      <alignment horizontal="right"/>
    </xf>
    <xf numFmtId="0" fontId="5" fillId="0" borderId="10" xfId="0" applyFont="1" applyFill="1" applyBorder="1" applyAlignment="1" applyProtection="1"/>
    <xf numFmtId="2" fontId="5" fillId="0" borderId="21" xfId="0" applyNumberFormat="1" applyFont="1" applyFill="1" applyBorder="1" applyAlignment="1" applyProtection="1"/>
    <xf numFmtId="0" fontId="3" fillId="0" borderId="18" xfId="0" applyFont="1" applyFill="1" applyBorder="1" applyAlignment="1" applyProtection="1">
      <protection locked="0"/>
    </xf>
    <xf numFmtId="0" fontId="3" fillId="0" borderId="0" xfId="0" applyFont="1" applyFill="1" applyBorder="1" applyAlignment="1" applyProtection="1">
      <protection locked="0"/>
    </xf>
    <xf numFmtId="0" fontId="4" fillId="0" borderId="18" xfId="0" applyFont="1" applyFill="1" applyBorder="1" applyAlignment="1" applyProtection="1">
      <alignment horizontal="left"/>
      <protection locked="0"/>
    </xf>
    <xf numFmtId="0" fontId="4" fillId="0" borderId="0" xfId="0" applyFont="1" applyFill="1" applyBorder="1" applyAlignment="1" applyProtection="1">
      <alignment horizontal="left"/>
      <protection locked="0"/>
    </xf>
    <xf numFmtId="0" fontId="4" fillId="0" borderId="0" xfId="0" applyFont="1" applyFill="1" applyBorder="1" applyProtection="1">
      <protection locked="0"/>
    </xf>
    <xf numFmtId="0" fontId="4" fillId="0" borderId="22" xfId="0" applyFont="1" applyFill="1" applyBorder="1" applyAlignment="1" applyProtection="1">
      <alignment horizontal="left"/>
      <protection locked="0"/>
    </xf>
    <xf numFmtId="0" fontId="4" fillId="0" borderId="23" xfId="0" applyFont="1" applyFill="1" applyBorder="1" applyAlignment="1" applyProtection="1">
      <alignment horizontal="left"/>
      <protection locked="0"/>
    </xf>
    <xf numFmtId="0" fontId="4" fillId="0" borderId="23" xfId="0" applyFont="1" applyFill="1" applyBorder="1" applyProtection="1">
      <protection locked="0"/>
    </xf>
    <xf numFmtId="49" fontId="4" fillId="0" borderId="0" xfId="0" applyNumberFormat="1" applyFont="1" applyFill="1" applyAlignment="1" applyProtection="1">
      <alignment horizontal="left"/>
      <protection locked="0"/>
    </xf>
    <xf numFmtId="49" fontId="5" fillId="0" borderId="1" xfId="0" applyNumberFormat="1" applyFont="1" applyFill="1" applyBorder="1" applyAlignment="1" applyProtection="1">
      <alignment horizontal="left"/>
    </xf>
    <xf numFmtId="49" fontId="2" fillId="0" borderId="1" xfId="0" applyNumberFormat="1" applyFont="1" applyFill="1" applyBorder="1" applyAlignment="1" applyProtection="1">
      <alignment horizontal="left"/>
    </xf>
    <xf numFmtId="49" fontId="2" fillId="0" borderId="13" xfId="0" applyNumberFormat="1" applyFont="1" applyFill="1" applyBorder="1" applyAlignment="1" applyProtection="1">
      <alignment horizontal="left"/>
    </xf>
    <xf numFmtId="49" fontId="5" fillId="0" borderId="10" xfId="0" applyNumberFormat="1" applyFont="1" applyFill="1" applyBorder="1" applyAlignment="1" applyProtection="1">
      <alignment horizontal="left"/>
    </xf>
    <xf numFmtId="49" fontId="4" fillId="0" borderId="10" xfId="0" applyNumberFormat="1" applyFont="1" applyFill="1" applyBorder="1" applyAlignment="1" applyProtection="1">
      <alignment horizontal="left"/>
      <protection locked="0"/>
    </xf>
    <xf numFmtId="49" fontId="4" fillId="0" borderId="12" xfId="0" applyNumberFormat="1" applyFont="1" applyFill="1" applyBorder="1" applyAlignment="1" applyProtection="1">
      <alignment horizontal="left"/>
      <protection locked="0"/>
    </xf>
    <xf numFmtId="1" fontId="5" fillId="0" borderId="1" xfId="0" applyNumberFormat="1" applyFont="1" applyFill="1" applyBorder="1" applyAlignment="1" applyProtection="1">
      <alignment horizontal="right"/>
    </xf>
    <xf numFmtId="1" fontId="2" fillId="0" borderId="1" xfId="0" applyNumberFormat="1" applyFont="1" applyFill="1" applyBorder="1" applyProtection="1">
      <protection locked="0"/>
    </xf>
    <xf numFmtId="1" fontId="2" fillId="0" borderId="13" xfId="0" applyNumberFormat="1" applyFont="1" applyFill="1" applyBorder="1" applyProtection="1">
      <protection locked="0"/>
    </xf>
    <xf numFmtId="164" fontId="2" fillId="0" borderId="1" xfId="0" applyNumberFormat="1" applyFont="1" applyFill="1" applyBorder="1" applyProtection="1">
      <protection locked="0"/>
    </xf>
    <xf numFmtId="164" fontId="2" fillId="0" borderId="13" xfId="0" applyNumberFormat="1" applyFont="1" applyFill="1" applyBorder="1" applyProtection="1">
      <protection locked="0"/>
    </xf>
    <xf numFmtId="49" fontId="2" fillId="0" borderId="13" xfId="0" applyNumberFormat="1" applyFont="1" applyFill="1" applyBorder="1" applyAlignment="1" applyProtection="1">
      <alignment horizontal="left"/>
    </xf>
    <xf numFmtId="49" fontId="2" fillId="0" borderId="1" xfId="0" applyNumberFormat="1" applyFont="1" applyFill="1" applyBorder="1" applyAlignment="1" applyProtection="1">
      <alignment horizontal="left"/>
    </xf>
    <xf numFmtId="0" fontId="5" fillId="0" borderId="7" xfId="0" applyFont="1" applyFill="1" applyBorder="1" applyAlignment="1" applyProtection="1">
      <alignment horizontal="center"/>
    </xf>
    <xf numFmtId="0" fontId="5" fillId="0" borderId="8" xfId="0" applyFont="1" applyFill="1" applyBorder="1" applyAlignment="1" applyProtection="1">
      <alignment horizontal="center"/>
    </xf>
    <xf numFmtId="0" fontId="5" fillId="0" borderId="9" xfId="0" applyFont="1" applyFill="1" applyBorder="1" applyAlignment="1" applyProtection="1">
      <alignment horizontal="center"/>
    </xf>
    <xf numFmtId="49" fontId="5" fillId="0" borderId="1" xfId="0" applyNumberFormat="1" applyFont="1" applyFill="1" applyBorder="1" applyAlignment="1" applyProtection="1">
      <alignment horizontal="left"/>
    </xf>
    <xf numFmtId="0" fontId="5" fillId="0" borderId="6" xfId="0" applyFont="1" applyFill="1" applyBorder="1" applyAlignment="1" applyProtection="1">
      <alignment horizontal="right"/>
    </xf>
    <xf numFmtId="0" fontId="5" fillId="0" borderId="0" xfId="0" applyFont="1" applyFill="1" applyBorder="1" applyAlignment="1" applyProtection="1">
      <alignment horizontal="right"/>
    </xf>
    <xf numFmtId="0" fontId="5" fillId="0" borderId="19" xfId="0" applyFont="1" applyFill="1" applyBorder="1" applyAlignment="1" applyProtection="1">
      <alignment horizontal="right"/>
    </xf>
    <xf numFmtId="0" fontId="5" fillId="0" borderId="24" xfId="0" applyFont="1" applyFill="1" applyBorder="1" applyAlignment="1" applyProtection="1">
      <alignment horizontal="right"/>
    </xf>
    <xf numFmtId="0" fontId="5" fillId="0" borderId="23" xfId="0" applyFont="1" applyFill="1" applyBorder="1" applyAlignment="1" applyProtection="1">
      <alignment horizontal="right"/>
    </xf>
    <xf numFmtId="0" fontId="5" fillId="0" borderId="25" xfId="0" applyFont="1" applyFill="1" applyBorder="1" applyAlignment="1" applyProtection="1">
      <alignment horizontal="right"/>
    </xf>
    <xf numFmtId="0" fontId="2" fillId="0" borderId="20" xfId="0" quotePrefix="1" applyFont="1" applyFill="1" applyBorder="1" applyAlignment="1" applyProtection="1">
      <alignment horizontal="left"/>
    </xf>
    <xf numFmtId="0" fontId="2" fillId="0" borderId="3" xfId="0" applyFont="1" applyFill="1" applyBorder="1" applyAlignment="1" applyProtection="1">
      <alignment horizontal="left"/>
    </xf>
    <xf numFmtId="0" fontId="2" fillId="0" borderId="4" xfId="0" applyFont="1" applyFill="1" applyBorder="1" applyAlignment="1" applyProtection="1">
      <alignment horizontal="left"/>
    </xf>
    <xf numFmtId="0" fontId="5" fillId="0" borderId="10" xfId="0" applyFont="1" applyFill="1" applyBorder="1" applyAlignment="1" applyProtection="1">
      <alignment horizontal="left"/>
    </xf>
    <xf numFmtId="0" fontId="5" fillId="0" borderId="1" xfId="0" applyFont="1" applyFill="1" applyBorder="1" applyAlignment="1" applyProtection="1">
      <alignment horizontal="left"/>
    </xf>
    <xf numFmtId="0" fontId="2" fillId="0" borderId="1" xfId="0" applyFont="1" applyFill="1" applyBorder="1" applyAlignment="1" applyProtection="1">
      <alignment horizontal="right"/>
    </xf>
    <xf numFmtId="0" fontId="2" fillId="0" borderId="11" xfId="0" applyFont="1" applyFill="1" applyBorder="1" applyAlignment="1" applyProtection="1">
      <alignment horizontal="right"/>
    </xf>
    <xf numFmtId="2" fontId="5" fillId="2" borderId="1" xfId="0" applyNumberFormat="1" applyFont="1" applyFill="1" applyBorder="1" applyAlignment="1" applyProtection="1">
      <alignment horizontal="right"/>
      <protection locked="0"/>
    </xf>
    <xf numFmtId="2" fontId="5" fillId="2" borderId="11" xfId="0" applyNumberFormat="1" applyFont="1" applyFill="1" applyBorder="1" applyAlignment="1" applyProtection="1">
      <alignment horizontal="right"/>
      <protection locked="0"/>
    </xf>
    <xf numFmtId="0" fontId="2" fillId="0" borderId="20" xfId="0" applyFont="1" applyFill="1" applyBorder="1" applyAlignment="1" applyProtection="1">
      <alignment horizontal="left"/>
    </xf>
    <xf numFmtId="1" fontId="2" fillId="0" borderId="2" xfId="0" applyNumberFormat="1" applyFont="1" applyFill="1" applyBorder="1" applyAlignment="1" applyProtection="1">
      <alignment horizontal="right"/>
    </xf>
    <xf numFmtId="1" fontId="2" fillId="0" borderId="3" xfId="0" applyNumberFormat="1" applyFont="1" applyFill="1" applyBorder="1" applyAlignment="1" applyProtection="1">
      <alignment horizontal="right"/>
    </xf>
    <xf numFmtId="1" fontId="2" fillId="0" borderId="21" xfId="0" applyNumberFormat="1" applyFont="1" applyFill="1" applyBorder="1" applyAlignment="1" applyProtection="1">
      <alignment horizontal="right"/>
    </xf>
    <xf numFmtId="0" fontId="2" fillId="0" borderId="10" xfId="0" applyFont="1" applyFill="1" applyBorder="1" applyAlignment="1" applyProtection="1">
      <alignment horizontal="left"/>
    </xf>
    <xf numFmtId="0" fontId="2" fillId="0" borderId="1" xfId="0" applyFont="1" applyFill="1" applyBorder="1" applyAlignment="1" applyProtection="1">
      <alignment horizontal="left"/>
    </xf>
    <xf numFmtId="0" fontId="2" fillId="0" borderId="2" xfId="0" applyFont="1" applyFill="1" applyBorder="1" applyAlignment="1" applyProtection="1">
      <alignment horizontal="left"/>
    </xf>
    <xf numFmtId="0" fontId="2" fillId="0" borderId="20" xfId="0" quotePrefix="1" applyFont="1" applyFill="1" applyBorder="1" applyAlignment="1" applyProtection="1"/>
    <xf numFmtId="0" fontId="2" fillId="0" borderId="3" xfId="0" applyFont="1" applyFill="1" applyBorder="1" applyAlignment="1" applyProtection="1"/>
    <xf numFmtId="0" fontId="2" fillId="0" borderId="4" xfId="0" applyFont="1" applyFill="1" applyBorder="1" applyAlignment="1" applyProtection="1"/>
    <xf numFmtId="2" fontId="4" fillId="0" borderId="1" xfId="0" applyNumberFormat="1" applyFont="1" applyFill="1" applyBorder="1" applyAlignment="1" applyProtection="1">
      <alignment horizontal="left"/>
    </xf>
    <xf numFmtId="2" fontId="4" fillId="0" borderId="11" xfId="0" applyNumberFormat="1" applyFont="1" applyFill="1" applyBorder="1" applyAlignment="1" applyProtection="1">
      <alignment horizontal="left"/>
    </xf>
    <xf numFmtId="1" fontId="4" fillId="0" borderId="1" xfId="0" applyNumberFormat="1" applyFont="1" applyFill="1" applyBorder="1" applyAlignment="1" applyProtection="1">
      <alignment horizontal="left"/>
    </xf>
    <xf numFmtId="1" fontId="4" fillId="0" borderId="11" xfId="0" applyNumberFormat="1" applyFont="1" applyFill="1" applyBorder="1" applyAlignment="1" applyProtection="1">
      <alignment horizontal="left"/>
    </xf>
    <xf numFmtId="0" fontId="4" fillId="0" borderId="1" xfId="0" applyFont="1" applyFill="1" applyBorder="1" applyAlignment="1" applyProtection="1">
      <alignment horizontal="left"/>
    </xf>
    <xf numFmtId="0" fontId="4" fillId="0" borderId="11" xfId="0" applyFont="1" applyFill="1" applyBorder="1" applyAlignment="1" applyProtection="1">
      <alignment horizontal="left"/>
    </xf>
    <xf numFmtId="0" fontId="5" fillId="0" borderId="1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/>
    </xf>
    <xf numFmtId="0" fontId="5" fillId="0" borderId="11" xfId="0" applyFont="1" applyFill="1" applyBorder="1" applyAlignment="1" applyProtection="1">
      <alignment horizontal="center"/>
    </xf>
    <xf numFmtId="0" fontId="5" fillId="0" borderId="20" xfId="0" applyFont="1" applyFill="1" applyBorder="1" applyAlignment="1" applyProtection="1">
      <alignment horizontal="left"/>
    </xf>
    <xf numFmtId="0" fontId="5" fillId="0" borderId="3" xfId="0" applyFont="1" applyFill="1" applyBorder="1" applyAlignment="1" applyProtection="1">
      <alignment horizontal="left"/>
    </xf>
    <xf numFmtId="0" fontId="5" fillId="0" borderId="4" xfId="0" applyFont="1" applyFill="1" applyBorder="1" applyAlignment="1" applyProtection="1">
      <alignment horizontal="left"/>
    </xf>
    <xf numFmtId="0" fontId="6" fillId="0" borderId="15" xfId="0" applyFont="1" applyFill="1" applyBorder="1" applyAlignment="1" applyProtection="1">
      <alignment horizontal="center"/>
    </xf>
    <xf numFmtId="0" fontId="6" fillId="0" borderId="16" xfId="0" applyFont="1" applyFill="1" applyBorder="1" applyAlignment="1" applyProtection="1">
      <alignment horizontal="center"/>
    </xf>
    <xf numFmtId="0" fontId="6" fillId="0" borderId="17" xfId="0" applyFont="1" applyFill="1" applyBorder="1" applyAlignment="1" applyProtection="1">
      <alignment horizontal="center"/>
    </xf>
    <xf numFmtId="0" fontId="3" fillId="0" borderId="10" xfId="0" applyFont="1" applyFill="1" applyBorder="1" applyAlignment="1" applyProtection="1">
      <alignment horizontal="center"/>
    </xf>
    <xf numFmtId="0" fontId="3" fillId="0" borderId="1" xfId="0" applyFont="1" applyFill="1" applyBorder="1" applyAlignment="1" applyProtection="1">
      <alignment horizontal="center"/>
    </xf>
    <xf numFmtId="0" fontId="3" fillId="0" borderId="11" xfId="0" applyFont="1" applyFill="1" applyBorder="1" applyAlignment="1" applyProtection="1">
      <alignment horizontal="center"/>
    </xf>
    <xf numFmtId="0" fontId="3" fillId="0" borderId="1" xfId="0" applyFont="1" applyFill="1" applyBorder="1" applyAlignment="1" applyProtection="1">
      <alignment horizontal="left"/>
    </xf>
    <xf numFmtId="0" fontId="3" fillId="0" borderId="11" xfId="0" applyFont="1" applyFill="1" applyBorder="1" applyAlignment="1" applyProtection="1">
      <alignment horizontal="left"/>
    </xf>
    <xf numFmtId="1" fontId="2" fillId="0" borderId="2" xfId="0" applyNumberFormat="1" applyFont="1" applyFill="1" applyBorder="1" applyAlignment="1" applyProtection="1">
      <alignment horizontal="center"/>
    </xf>
    <xf numFmtId="1" fontId="2" fillId="0" borderId="3" xfId="0" applyNumberFormat="1" applyFont="1" applyFill="1" applyBorder="1" applyAlignment="1" applyProtection="1">
      <alignment horizontal="center"/>
    </xf>
    <xf numFmtId="1" fontId="2" fillId="0" borderId="4" xfId="0" applyNumberFormat="1" applyFont="1" applyFill="1" applyBorder="1" applyAlignment="1" applyProtection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49</xdr:row>
          <xdr:rowOff>0</xdr:rowOff>
        </xdr:from>
        <xdr:to>
          <xdr:col>11</xdr:col>
          <xdr:colOff>438150</xdr:colOff>
          <xdr:row>50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Price (First Print)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50</xdr:row>
          <xdr:rowOff>47625</xdr:rowOff>
        </xdr:from>
        <xdr:to>
          <xdr:col>11</xdr:col>
          <xdr:colOff>438150</xdr:colOff>
          <xdr:row>51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Price (Reprint)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51</xdr:row>
          <xdr:rowOff>95250</xdr:rowOff>
        </xdr:from>
        <xdr:to>
          <xdr:col>11</xdr:col>
          <xdr:colOff>438150</xdr:colOff>
          <xdr:row>52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Price (Average)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S71"/>
  <sheetViews>
    <sheetView tabSelected="1" view="pageBreakPreview" zoomScale="85" zoomScaleSheetLayoutView="85" workbookViewId="0">
      <pane ySplit="10" topLeftCell="A40" activePane="bottomLeft" state="frozen"/>
      <selection pane="bottomLeft" activeCell="B66" sqref="B66"/>
    </sheetView>
  </sheetViews>
  <sheetFormatPr defaultRowHeight="12.75" x14ac:dyDescent="0.2"/>
  <cols>
    <col min="1" max="1" width="15.7109375" style="27" customWidth="1"/>
    <col min="2" max="3" width="12.7109375" style="27" customWidth="1"/>
    <col min="4" max="4" width="12.7109375" style="2" customWidth="1"/>
    <col min="5" max="5" width="12.7109375" style="13" customWidth="1"/>
    <col min="6" max="6" width="12.7109375" style="2" customWidth="1"/>
    <col min="7" max="7" width="15.7109375" style="28" customWidth="1"/>
    <col min="8" max="8" width="2" style="2" hidden="1" customWidth="1"/>
    <col min="9" max="9" width="3.28515625" style="2" hidden="1" customWidth="1"/>
    <col min="10" max="10" width="15.7109375" style="81" customWidth="1"/>
    <col min="11" max="11" width="11.28515625" style="13" hidden="1" customWidth="1"/>
    <col min="12" max="12" width="10.7109375" style="81" bestFit="1" customWidth="1"/>
    <col min="13" max="14" width="9.140625" style="2"/>
    <col min="15" max="15" width="10.7109375" style="17" customWidth="1"/>
    <col min="16" max="16" width="10.7109375" style="2" customWidth="1"/>
    <col min="17" max="17" width="10.7109375" style="13" customWidth="1"/>
    <col min="18" max="18" width="10.7109375" style="81" customWidth="1"/>
    <col min="19" max="19" width="12.7109375" style="13" customWidth="1"/>
    <col min="20" max="16384" width="9.140625" style="2"/>
  </cols>
  <sheetData>
    <row r="1" spans="1:19" ht="18.75" x14ac:dyDescent="0.3">
      <c r="A1" s="136" t="s">
        <v>37</v>
      </c>
      <c r="B1" s="137"/>
      <c r="C1" s="137"/>
      <c r="D1" s="137"/>
      <c r="E1" s="137"/>
      <c r="F1" s="137"/>
      <c r="G1" s="138"/>
    </row>
    <row r="2" spans="1:19" x14ac:dyDescent="0.2">
      <c r="A2" s="139" t="s">
        <v>69</v>
      </c>
      <c r="B2" s="140"/>
      <c r="C2" s="140"/>
      <c r="D2" s="140"/>
      <c r="E2" s="140"/>
      <c r="F2" s="140"/>
      <c r="G2" s="141"/>
    </row>
    <row r="3" spans="1:19" x14ac:dyDescent="0.2">
      <c r="A3" s="55" t="s">
        <v>70</v>
      </c>
      <c r="B3" s="142" t="s">
        <v>79</v>
      </c>
      <c r="C3" s="142"/>
      <c r="D3" s="142"/>
      <c r="E3" s="142"/>
      <c r="F3" s="142"/>
      <c r="G3" s="143"/>
    </row>
    <row r="4" spans="1:19" x14ac:dyDescent="0.2">
      <c r="A4" s="55" t="s">
        <v>24</v>
      </c>
      <c r="B4" s="128"/>
      <c r="C4" s="128"/>
      <c r="D4" s="128"/>
      <c r="E4" s="128"/>
      <c r="F4" s="128"/>
      <c r="G4" s="129"/>
    </row>
    <row r="5" spans="1:19" x14ac:dyDescent="0.2">
      <c r="A5" s="55" t="s">
        <v>29</v>
      </c>
      <c r="B5" s="41"/>
      <c r="C5" s="41"/>
      <c r="D5" s="41"/>
      <c r="E5" s="41"/>
      <c r="F5" s="41"/>
      <c r="G5" s="56"/>
    </row>
    <row r="6" spans="1:19" x14ac:dyDescent="0.2">
      <c r="A6" s="55" t="s">
        <v>26</v>
      </c>
      <c r="B6" s="128"/>
      <c r="C6" s="128"/>
      <c r="D6" s="128"/>
      <c r="E6" s="128"/>
      <c r="F6" s="128"/>
      <c r="G6" s="129"/>
    </row>
    <row r="7" spans="1:19" x14ac:dyDescent="0.2">
      <c r="A7" s="55" t="s">
        <v>27</v>
      </c>
      <c r="B7" s="124"/>
      <c r="C7" s="124"/>
      <c r="D7" s="124"/>
      <c r="E7" s="124"/>
      <c r="F7" s="124"/>
      <c r="G7" s="125"/>
    </row>
    <row r="8" spans="1:19" x14ac:dyDescent="0.2">
      <c r="A8" s="55" t="s">
        <v>28</v>
      </c>
      <c r="B8" s="126"/>
      <c r="C8" s="126"/>
      <c r="D8" s="126"/>
      <c r="E8" s="126"/>
      <c r="F8" s="126"/>
      <c r="G8" s="127"/>
    </row>
    <row r="9" spans="1:19" x14ac:dyDescent="0.2">
      <c r="A9" s="55" t="s">
        <v>52</v>
      </c>
      <c r="B9" s="128"/>
      <c r="C9" s="128"/>
      <c r="D9" s="128"/>
      <c r="E9" s="128"/>
      <c r="F9" s="128"/>
      <c r="G9" s="129"/>
    </row>
    <row r="10" spans="1:19" x14ac:dyDescent="0.2">
      <c r="A10" s="55" t="s">
        <v>25</v>
      </c>
      <c r="B10" s="128"/>
      <c r="C10" s="128"/>
      <c r="D10" s="128"/>
      <c r="E10" s="128"/>
      <c r="F10" s="128"/>
      <c r="G10" s="129"/>
    </row>
    <row r="11" spans="1:19" ht="13.5" thickBot="1" x14ac:dyDescent="0.25">
      <c r="A11" s="57"/>
      <c r="B11" s="3"/>
      <c r="C11" s="3"/>
      <c r="D11" s="3"/>
      <c r="E11" s="3"/>
      <c r="F11" s="3"/>
      <c r="G11" s="58"/>
    </row>
    <row r="12" spans="1:19" x14ac:dyDescent="0.2">
      <c r="A12" s="130" t="s">
        <v>38</v>
      </c>
      <c r="B12" s="131"/>
      <c r="C12" s="131"/>
      <c r="D12" s="131"/>
      <c r="E12" s="131"/>
      <c r="F12" s="131"/>
      <c r="G12" s="132"/>
      <c r="J12" s="95" t="s">
        <v>78</v>
      </c>
      <c r="K12" s="96"/>
      <c r="L12" s="96"/>
      <c r="M12" s="96"/>
      <c r="N12" s="96"/>
      <c r="O12" s="96"/>
      <c r="P12" s="96"/>
      <c r="Q12" s="96"/>
      <c r="R12" s="96"/>
      <c r="S12" s="97"/>
    </row>
    <row r="13" spans="1:19" x14ac:dyDescent="0.2">
      <c r="A13" s="133" t="s">
        <v>39</v>
      </c>
      <c r="B13" s="134"/>
      <c r="C13" s="135"/>
      <c r="D13" s="4" t="s">
        <v>40</v>
      </c>
      <c r="E13" s="5" t="s">
        <v>41</v>
      </c>
      <c r="F13" s="6" t="s">
        <v>42</v>
      </c>
      <c r="G13" s="48" t="s">
        <v>43</v>
      </c>
      <c r="J13" s="85" t="s">
        <v>76</v>
      </c>
      <c r="K13" s="46"/>
      <c r="L13" s="98" t="s">
        <v>74</v>
      </c>
      <c r="M13" s="98"/>
      <c r="N13" s="98"/>
      <c r="O13" s="88" t="s">
        <v>77</v>
      </c>
      <c r="P13" s="4" t="s">
        <v>40</v>
      </c>
      <c r="Q13" s="5" t="s">
        <v>41</v>
      </c>
      <c r="R13" s="82" t="s">
        <v>75</v>
      </c>
      <c r="S13" s="48" t="s">
        <v>43</v>
      </c>
    </row>
    <row r="14" spans="1:19" x14ac:dyDescent="0.2">
      <c r="A14" s="114" t="s">
        <v>0</v>
      </c>
      <c r="B14" s="106"/>
      <c r="C14" s="107"/>
      <c r="D14" s="7">
        <f>+B4</f>
        <v>0</v>
      </c>
      <c r="E14" s="29">
        <v>0</v>
      </c>
      <c r="F14" s="7" t="s">
        <v>18</v>
      </c>
      <c r="G14" s="49">
        <f t="shared" ref="G14:G19" si="0">D14*E14</f>
        <v>0</v>
      </c>
      <c r="J14" s="86"/>
      <c r="K14" s="46"/>
      <c r="L14" s="94"/>
      <c r="M14" s="94"/>
      <c r="N14" s="94"/>
      <c r="O14" s="14"/>
      <c r="P14" s="12"/>
      <c r="Q14" s="47"/>
      <c r="R14" s="83"/>
      <c r="S14" s="49"/>
    </row>
    <row r="15" spans="1:19" x14ac:dyDescent="0.2">
      <c r="A15" s="114" t="s">
        <v>1</v>
      </c>
      <c r="B15" s="106"/>
      <c r="C15" s="107"/>
      <c r="D15" s="30">
        <v>0</v>
      </c>
      <c r="E15" s="29">
        <v>0</v>
      </c>
      <c r="F15" s="7" t="s">
        <v>18</v>
      </c>
      <c r="G15" s="49">
        <f t="shared" si="0"/>
        <v>0</v>
      </c>
      <c r="J15" s="86"/>
      <c r="K15" s="46"/>
      <c r="L15" s="94"/>
      <c r="M15" s="94"/>
      <c r="N15" s="94"/>
      <c r="O15" s="89"/>
      <c r="P15" s="12"/>
      <c r="Q15" s="47"/>
      <c r="R15" s="83"/>
      <c r="S15" s="49"/>
    </row>
    <row r="16" spans="1:19" x14ac:dyDescent="0.2">
      <c r="A16" s="114" t="s">
        <v>2</v>
      </c>
      <c r="B16" s="106"/>
      <c r="C16" s="107"/>
      <c r="D16" s="30">
        <v>0</v>
      </c>
      <c r="E16" s="29">
        <v>0</v>
      </c>
      <c r="F16" s="7" t="s">
        <v>18</v>
      </c>
      <c r="G16" s="49">
        <f t="shared" si="0"/>
        <v>0</v>
      </c>
      <c r="J16" s="86"/>
      <c r="K16" s="46"/>
      <c r="L16" s="94"/>
      <c r="M16" s="94"/>
      <c r="N16" s="94"/>
      <c r="O16" s="89"/>
      <c r="P16" s="91"/>
      <c r="Q16" s="47"/>
      <c r="R16" s="83"/>
      <c r="S16" s="49"/>
    </row>
    <row r="17" spans="1:19" x14ac:dyDescent="0.2">
      <c r="A17" s="114" t="s">
        <v>3</v>
      </c>
      <c r="B17" s="106"/>
      <c r="C17" s="107"/>
      <c r="D17" s="8">
        <v>1</v>
      </c>
      <c r="E17" s="29">
        <v>0</v>
      </c>
      <c r="F17" s="7" t="s">
        <v>19</v>
      </c>
      <c r="G17" s="49">
        <f t="shared" si="0"/>
        <v>0</v>
      </c>
      <c r="J17" s="86"/>
      <c r="K17" s="46"/>
      <c r="L17" s="94"/>
      <c r="M17" s="94"/>
      <c r="N17" s="94"/>
      <c r="O17" s="89"/>
      <c r="P17" s="91"/>
      <c r="Q17" s="47"/>
      <c r="R17" s="83"/>
      <c r="S17" s="49"/>
    </row>
    <row r="18" spans="1:19" x14ac:dyDescent="0.2">
      <c r="A18" s="114" t="s">
        <v>4</v>
      </c>
      <c r="B18" s="106"/>
      <c r="C18" s="107"/>
      <c r="D18" s="7">
        <f>+B4</f>
        <v>0</v>
      </c>
      <c r="E18" s="29">
        <v>0</v>
      </c>
      <c r="F18" s="7" t="s">
        <v>18</v>
      </c>
      <c r="G18" s="49">
        <f t="shared" si="0"/>
        <v>0</v>
      </c>
      <c r="J18" s="86"/>
      <c r="K18" s="46"/>
      <c r="L18" s="94"/>
      <c r="M18" s="94"/>
      <c r="N18" s="94"/>
      <c r="O18" s="14"/>
      <c r="P18" s="12"/>
      <c r="Q18" s="47"/>
      <c r="R18" s="83"/>
      <c r="S18" s="49"/>
    </row>
    <row r="19" spans="1:19" x14ac:dyDescent="0.2">
      <c r="A19" s="114" t="s">
        <v>5</v>
      </c>
      <c r="B19" s="106"/>
      <c r="C19" s="107"/>
      <c r="D19" s="8">
        <v>1</v>
      </c>
      <c r="E19" s="29">
        <v>0</v>
      </c>
      <c r="F19" s="7" t="s">
        <v>20</v>
      </c>
      <c r="G19" s="49">
        <f t="shared" si="0"/>
        <v>0</v>
      </c>
      <c r="J19" s="86"/>
      <c r="K19" s="46"/>
      <c r="L19" s="94"/>
      <c r="M19" s="94"/>
      <c r="N19" s="94"/>
      <c r="O19" s="89"/>
      <c r="P19" s="91"/>
      <c r="Q19" s="47"/>
      <c r="R19" s="83"/>
      <c r="S19" s="49"/>
    </row>
    <row r="20" spans="1:19" x14ac:dyDescent="0.2">
      <c r="A20" s="114" t="s">
        <v>6</v>
      </c>
      <c r="B20" s="106"/>
      <c r="C20" s="107"/>
      <c r="D20" s="8">
        <v>1</v>
      </c>
      <c r="E20" s="29">
        <v>0</v>
      </c>
      <c r="F20" s="7" t="s">
        <v>21</v>
      </c>
      <c r="G20" s="49">
        <f>E20</f>
        <v>0</v>
      </c>
      <c r="J20" s="86"/>
      <c r="K20" s="46"/>
      <c r="L20" s="94"/>
      <c r="M20" s="94"/>
      <c r="N20" s="94"/>
      <c r="O20" s="89"/>
      <c r="P20" s="91"/>
      <c r="Q20" s="47"/>
      <c r="R20" s="83"/>
      <c r="S20" s="49"/>
    </row>
    <row r="21" spans="1:19" x14ac:dyDescent="0.2">
      <c r="A21" s="108" t="s">
        <v>51</v>
      </c>
      <c r="B21" s="109"/>
      <c r="C21" s="109"/>
      <c r="D21" s="109"/>
      <c r="E21" s="109"/>
      <c r="F21" s="109"/>
      <c r="G21" s="48">
        <f>SUM(G14:G20)</f>
        <v>0</v>
      </c>
      <c r="J21" s="86"/>
      <c r="K21" s="46"/>
      <c r="L21" s="94"/>
      <c r="M21" s="94"/>
      <c r="N21" s="94"/>
      <c r="O21" s="14"/>
      <c r="P21" s="12"/>
      <c r="Q21" s="47"/>
      <c r="R21" s="83"/>
      <c r="S21" s="49"/>
    </row>
    <row r="22" spans="1:19" x14ac:dyDescent="0.2">
      <c r="A22" s="59"/>
      <c r="B22" s="9"/>
      <c r="C22" s="9"/>
      <c r="D22" s="9"/>
      <c r="E22" s="9"/>
      <c r="F22" s="9"/>
      <c r="G22" s="60"/>
      <c r="J22" s="86"/>
      <c r="K22" s="46"/>
      <c r="L22" s="94"/>
      <c r="M22" s="94"/>
      <c r="N22" s="94"/>
      <c r="O22" s="89"/>
      <c r="P22" s="12"/>
      <c r="Q22" s="47"/>
      <c r="R22" s="83"/>
      <c r="S22" s="49"/>
    </row>
    <row r="23" spans="1:19" x14ac:dyDescent="0.2">
      <c r="A23" s="130" t="s">
        <v>44</v>
      </c>
      <c r="B23" s="131"/>
      <c r="C23" s="131"/>
      <c r="D23" s="131"/>
      <c r="E23" s="131"/>
      <c r="F23" s="131"/>
      <c r="G23" s="132"/>
      <c r="J23" s="86"/>
      <c r="K23" s="46"/>
      <c r="L23" s="94"/>
      <c r="M23" s="94"/>
      <c r="N23" s="94"/>
      <c r="O23" s="89"/>
      <c r="P23" s="91"/>
      <c r="Q23" s="47"/>
      <c r="R23" s="83"/>
      <c r="S23" s="49"/>
    </row>
    <row r="24" spans="1:19" x14ac:dyDescent="0.2">
      <c r="A24" s="61" t="s">
        <v>11</v>
      </c>
      <c r="B24" s="10" t="s">
        <v>13</v>
      </c>
      <c r="C24" s="11">
        <v>0</v>
      </c>
      <c r="D24" s="12">
        <v>0</v>
      </c>
      <c r="E24" s="15">
        <f>IF(D24=0,0,H24)</f>
        <v>0</v>
      </c>
      <c r="F24" s="7" t="s">
        <v>17</v>
      </c>
      <c r="G24" s="49">
        <v>0</v>
      </c>
      <c r="H24" s="2">
        <v>0</v>
      </c>
      <c r="J24" s="86"/>
      <c r="K24" s="46"/>
      <c r="L24" s="94"/>
      <c r="M24" s="94"/>
      <c r="N24" s="94"/>
      <c r="O24" s="89"/>
      <c r="P24" s="91"/>
      <c r="Q24" s="47"/>
      <c r="R24" s="83"/>
      <c r="S24" s="49"/>
    </row>
    <row r="25" spans="1:19" x14ac:dyDescent="0.2">
      <c r="A25" s="61"/>
      <c r="B25" s="10" t="s">
        <v>14</v>
      </c>
      <c r="C25" s="11">
        <v>0</v>
      </c>
      <c r="D25" s="12">
        <v>0</v>
      </c>
      <c r="E25" s="15">
        <f>IF(D25=0,0,H25)</f>
        <v>0</v>
      </c>
      <c r="F25" s="7" t="s">
        <v>17</v>
      </c>
      <c r="G25" s="49">
        <v>0</v>
      </c>
      <c r="H25" s="2">
        <v>0</v>
      </c>
      <c r="J25" s="86"/>
      <c r="K25" s="46"/>
      <c r="L25" s="94"/>
      <c r="M25" s="94"/>
      <c r="N25" s="94"/>
      <c r="O25" s="14"/>
      <c r="P25" s="12"/>
      <c r="Q25" s="47"/>
      <c r="R25" s="83"/>
      <c r="S25" s="49"/>
    </row>
    <row r="26" spans="1:19" x14ac:dyDescent="0.2">
      <c r="A26" s="61"/>
      <c r="B26" s="10" t="s">
        <v>15</v>
      </c>
      <c r="C26" s="11">
        <v>0</v>
      </c>
      <c r="D26" s="12">
        <v>0</v>
      </c>
      <c r="E26" s="15">
        <f t="shared" ref="E26:E27" si="1">IF(D26=0,0,H26)</f>
        <v>0</v>
      </c>
      <c r="F26" s="7" t="s">
        <v>17</v>
      </c>
      <c r="G26" s="49">
        <v>0</v>
      </c>
      <c r="H26" s="2">
        <v>0</v>
      </c>
      <c r="J26" s="86"/>
      <c r="K26" s="46"/>
      <c r="L26" s="94"/>
      <c r="M26" s="94"/>
      <c r="N26" s="94"/>
      <c r="O26" s="89"/>
      <c r="P26" s="91"/>
      <c r="Q26" s="47"/>
      <c r="R26" s="83"/>
      <c r="S26" s="49"/>
    </row>
    <row r="27" spans="1:19" x14ac:dyDescent="0.2">
      <c r="A27" s="61" t="s">
        <v>12</v>
      </c>
      <c r="B27" s="45"/>
      <c r="C27" s="11">
        <v>0</v>
      </c>
      <c r="D27" s="12">
        <v>0</v>
      </c>
      <c r="E27" s="15">
        <f t="shared" si="1"/>
        <v>0</v>
      </c>
      <c r="F27" s="7" t="s">
        <v>17</v>
      </c>
      <c r="G27" s="49">
        <v>0</v>
      </c>
      <c r="H27" s="2">
        <v>0</v>
      </c>
      <c r="J27" s="86"/>
      <c r="K27" s="46"/>
      <c r="L27" s="94"/>
      <c r="M27" s="94"/>
      <c r="N27" s="94"/>
      <c r="O27" s="89"/>
      <c r="P27" s="91"/>
      <c r="Q27" s="47"/>
      <c r="R27" s="83"/>
      <c r="S27" s="49"/>
    </row>
    <row r="28" spans="1:19" x14ac:dyDescent="0.2">
      <c r="A28" s="61" t="s">
        <v>66</v>
      </c>
      <c r="B28" s="45"/>
      <c r="C28" s="11">
        <v>0</v>
      </c>
      <c r="D28" s="12">
        <v>0</v>
      </c>
      <c r="E28" s="15">
        <f t="shared" ref="E28" si="2">IF(D28=0,0,H28)</f>
        <v>0</v>
      </c>
      <c r="F28" s="7" t="s">
        <v>17</v>
      </c>
      <c r="G28" s="49">
        <v>0</v>
      </c>
      <c r="J28" s="86"/>
      <c r="K28" s="46"/>
      <c r="L28" s="94"/>
      <c r="M28" s="94"/>
      <c r="N28" s="94"/>
      <c r="O28" s="14"/>
      <c r="P28" s="12"/>
      <c r="Q28" s="47"/>
      <c r="R28" s="83"/>
      <c r="S28" s="49"/>
    </row>
    <row r="29" spans="1:19" x14ac:dyDescent="0.2">
      <c r="A29" s="61" t="s">
        <v>7</v>
      </c>
      <c r="B29" s="45" t="s">
        <v>13</v>
      </c>
      <c r="C29" s="45"/>
      <c r="D29" s="14">
        <v>0</v>
      </c>
      <c r="E29" s="15">
        <v>0</v>
      </c>
      <c r="F29" s="7" t="s">
        <v>16</v>
      </c>
      <c r="G29" s="62">
        <v>0</v>
      </c>
      <c r="J29" s="86"/>
      <c r="K29" s="46"/>
      <c r="L29" s="94"/>
      <c r="M29" s="94"/>
      <c r="N29" s="94"/>
      <c r="O29" s="89"/>
      <c r="P29" s="12"/>
      <c r="Q29" s="47"/>
      <c r="R29" s="83"/>
      <c r="S29" s="49"/>
    </row>
    <row r="30" spans="1:19" x14ac:dyDescent="0.2">
      <c r="A30" s="61"/>
      <c r="B30" s="45" t="s">
        <v>14</v>
      </c>
      <c r="C30" s="45" t="s">
        <v>80</v>
      </c>
      <c r="D30" s="14">
        <v>0</v>
      </c>
      <c r="E30" s="15">
        <v>0</v>
      </c>
      <c r="F30" s="7" t="s">
        <v>16</v>
      </c>
      <c r="G30" s="62">
        <v>0</v>
      </c>
      <c r="J30" s="86"/>
      <c r="K30" s="46"/>
      <c r="L30" s="94"/>
      <c r="M30" s="94"/>
      <c r="N30" s="94"/>
      <c r="O30" s="89"/>
      <c r="P30" s="91"/>
      <c r="Q30" s="47"/>
      <c r="R30" s="83"/>
      <c r="S30" s="49"/>
    </row>
    <row r="31" spans="1:19" x14ac:dyDescent="0.2">
      <c r="A31" s="61"/>
      <c r="B31" s="45" t="s">
        <v>15</v>
      </c>
      <c r="C31" s="45"/>
      <c r="D31" s="14">
        <v>0</v>
      </c>
      <c r="E31" s="15">
        <v>0</v>
      </c>
      <c r="F31" s="7" t="s">
        <v>16</v>
      </c>
      <c r="G31" s="62">
        <v>0</v>
      </c>
      <c r="J31" s="86"/>
      <c r="K31" s="46"/>
      <c r="L31" s="94"/>
      <c r="M31" s="94"/>
      <c r="N31" s="94"/>
      <c r="O31" s="89"/>
      <c r="P31" s="91"/>
      <c r="Q31" s="47"/>
      <c r="R31" s="83"/>
      <c r="S31" s="49"/>
    </row>
    <row r="32" spans="1:19" x14ac:dyDescent="0.2">
      <c r="A32" s="61" t="s">
        <v>8</v>
      </c>
      <c r="B32" s="45" t="s">
        <v>81</v>
      </c>
      <c r="C32" s="45" t="s">
        <v>80</v>
      </c>
      <c r="D32" s="14">
        <v>0</v>
      </c>
      <c r="E32" s="15">
        <v>0</v>
      </c>
      <c r="F32" s="7" t="s">
        <v>16</v>
      </c>
      <c r="G32" s="62">
        <v>0</v>
      </c>
      <c r="J32" s="86"/>
      <c r="K32" s="46"/>
      <c r="L32" s="94"/>
      <c r="M32" s="94"/>
      <c r="N32" s="94"/>
      <c r="O32" s="14"/>
      <c r="P32" s="12"/>
      <c r="Q32" s="47"/>
      <c r="R32" s="83"/>
      <c r="S32" s="49"/>
    </row>
    <row r="33" spans="1:19" x14ac:dyDescent="0.2">
      <c r="A33" s="61" t="s">
        <v>67</v>
      </c>
      <c r="B33" s="45" t="s">
        <v>15</v>
      </c>
      <c r="C33" s="45"/>
      <c r="D33" s="14">
        <v>0</v>
      </c>
      <c r="E33" s="15">
        <v>0</v>
      </c>
      <c r="F33" s="7" t="s">
        <v>16</v>
      </c>
      <c r="G33" s="62">
        <v>0</v>
      </c>
      <c r="J33" s="86"/>
      <c r="K33" s="46"/>
      <c r="L33" s="94"/>
      <c r="M33" s="94"/>
      <c r="N33" s="94"/>
      <c r="O33" s="89"/>
      <c r="P33" s="91"/>
      <c r="Q33" s="47"/>
      <c r="R33" s="83"/>
      <c r="S33" s="49"/>
    </row>
    <row r="34" spans="1:19" ht="13.5" thickBot="1" x14ac:dyDescent="0.25">
      <c r="A34" s="61" t="s">
        <v>9</v>
      </c>
      <c r="B34" s="120" t="s">
        <v>13</v>
      </c>
      <c r="C34" s="107"/>
      <c r="D34" s="15">
        <v>0</v>
      </c>
      <c r="E34" s="15">
        <v>0</v>
      </c>
      <c r="F34" s="45">
        <v>1000</v>
      </c>
      <c r="G34" s="62">
        <v>0</v>
      </c>
      <c r="H34" s="17">
        <v>0</v>
      </c>
      <c r="J34" s="87"/>
      <c r="K34" s="50"/>
      <c r="L34" s="93"/>
      <c r="M34" s="93"/>
      <c r="N34" s="93"/>
      <c r="O34" s="90"/>
      <c r="P34" s="92"/>
      <c r="Q34" s="51"/>
      <c r="R34" s="84"/>
      <c r="S34" s="52"/>
    </row>
    <row r="35" spans="1:19" x14ac:dyDescent="0.2">
      <c r="A35" s="61"/>
      <c r="B35" s="120" t="s">
        <v>14</v>
      </c>
      <c r="C35" s="107"/>
      <c r="D35" s="15">
        <v>0</v>
      </c>
      <c r="E35" s="15">
        <v>0</v>
      </c>
      <c r="F35" s="45">
        <v>1000</v>
      </c>
      <c r="G35" s="62">
        <v>0</v>
      </c>
      <c r="H35" s="2">
        <v>0</v>
      </c>
    </row>
    <row r="36" spans="1:19" x14ac:dyDescent="0.2">
      <c r="A36" s="61"/>
      <c r="B36" s="120" t="s">
        <v>15</v>
      </c>
      <c r="C36" s="107"/>
      <c r="D36" s="15">
        <v>0</v>
      </c>
      <c r="E36" s="15">
        <v>0</v>
      </c>
      <c r="F36" s="45">
        <v>1000</v>
      </c>
      <c r="G36" s="62">
        <v>0</v>
      </c>
      <c r="H36" s="2">
        <v>0</v>
      </c>
    </row>
    <row r="37" spans="1:19" x14ac:dyDescent="0.2">
      <c r="A37" s="61" t="s">
        <v>10</v>
      </c>
      <c r="B37" s="119" t="s">
        <v>81</v>
      </c>
      <c r="C37" s="119"/>
      <c r="D37" s="15"/>
      <c r="E37" s="42" t="s">
        <v>82</v>
      </c>
      <c r="F37" s="45">
        <v>1000</v>
      </c>
      <c r="G37" s="62">
        <v>0</v>
      </c>
      <c r="H37" s="2">
        <v>0</v>
      </c>
    </row>
    <row r="38" spans="1:19" x14ac:dyDescent="0.2">
      <c r="A38" s="61" t="s">
        <v>68</v>
      </c>
      <c r="B38" s="119" t="s">
        <v>15</v>
      </c>
      <c r="C38" s="119"/>
      <c r="D38" s="15"/>
      <c r="E38" s="42" t="s">
        <v>71</v>
      </c>
      <c r="F38" s="45">
        <v>1000</v>
      </c>
      <c r="G38" s="62">
        <v>0</v>
      </c>
    </row>
    <row r="39" spans="1:19" x14ac:dyDescent="0.2">
      <c r="A39" s="114" t="s">
        <v>83</v>
      </c>
      <c r="B39" s="106"/>
      <c r="C39" s="107"/>
      <c r="D39" s="14"/>
      <c r="E39" s="15"/>
      <c r="F39" s="7"/>
      <c r="G39" s="62">
        <v>0</v>
      </c>
    </row>
    <row r="40" spans="1:19" x14ac:dyDescent="0.2">
      <c r="A40" s="114" t="s">
        <v>33</v>
      </c>
      <c r="B40" s="106"/>
      <c r="C40" s="107"/>
      <c r="D40" s="14">
        <f>+B8</f>
        <v>0</v>
      </c>
      <c r="E40" s="15">
        <v>0</v>
      </c>
      <c r="F40" s="45">
        <v>1000</v>
      </c>
      <c r="G40" s="49">
        <f>(D40*B5*E40)/F40</f>
        <v>0</v>
      </c>
    </row>
    <row r="41" spans="1:19" x14ac:dyDescent="0.2">
      <c r="A41" s="114" t="s">
        <v>73</v>
      </c>
      <c r="B41" s="106"/>
      <c r="C41" s="107"/>
      <c r="D41" s="14">
        <f>+B8</f>
        <v>0</v>
      </c>
      <c r="E41" s="15">
        <v>0</v>
      </c>
      <c r="F41" s="45">
        <v>1000</v>
      </c>
      <c r="G41" s="49">
        <f>(D41*B5*E41)/F41</f>
        <v>0</v>
      </c>
    </row>
    <row r="42" spans="1:19" x14ac:dyDescent="0.2">
      <c r="A42" s="121" t="s">
        <v>72</v>
      </c>
      <c r="B42" s="122"/>
      <c r="C42" s="123"/>
      <c r="D42" s="14">
        <f>+B5</f>
        <v>0</v>
      </c>
      <c r="E42" s="15">
        <v>0</v>
      </c>
      <c r="F42" s="45">
        <v>1000</v>
      </c>
      <c r="G42" s="49">
        <f>(B5*E42)</f>
        <v>0</v>
      </c>
    </row>
    <row r="43" spans="1:19" x14ac:dyDescent="0.2">
      <c r="A43" s="121" t="s">
        <v>34</v>
      </c>
      <c r="B43" s="122"/>
      <c r="C43" s="123"/>
      <c r="D43" s="144"/>
      <c r="E43" s="145"/>
      <c r="F43" s="146"/>
      <c r="G43" s="49">
        <v>0</v>
      </c>
    </row>
    <row r="44" spans="1:19" x14ac:dyDescent="0.2">
      <c r="A44" s="105" t="s">
        <v>35</v>
      </c>
      <c r="B44" s="106"/>
      <c r="C44" s="107"/>
      <c r="D44" s="14">
        <f>+B5</f>
        <v>0</v>
      </c>
      <c r="E44" s="15">
        <v>0</v>
      </c>
      <c r="F44" s="7" t="s">
        <v>21</v>
      </c>
      <c r="G44" s="49">
        <f>+D44*E44</f>
        <v>0</v>
      </c>
    </row>
    <row r="45" spans="1:19" x14ac:dyDescent="0.2">
      <c r="A45" s="63" t="s">
        <v>65</v>
      </c>
      <c r="B45" s="37"/>
      <c r="C45" s="40" t="s">
        <v>63</v>
      </c>
      <c r="D45" s="38">
        <v>0</v>
      </c>
      <c r="E45" s="40" t="s">
        <v>64</v>
      </c>
      <c r="F45" s="39">
        <v>0</v>
      </c>
      <c r="G45" s="48">
        <f>SUM(G24:G44)+D45+F45</f>
        <v>0</v>
      </c>
      <c r="H45" s="2">
        <v>0</v>
      </c>
    </row>
    <row r="46" spans="1:19" x14ac:dyDescent="0.2">
      <c r="A46" s="59"/>
      <c r="B46" s="9"/>
      <c r="C46" s="9"/>
      <c r="D46" s="9"/>
      <c r="E46" s="9"/>
      <c r="F46" s="9"/>
      <c r="G46" s="60"/>
    </row>
    <row r="47" spans="1:19" x14ac:dyDescent="0.2">
      <c r="A47" s="118" t="s">
        <v>22</v>
      </c>
      <c r="B47" s="119"/>
      <c r="C47" s="119"/>
      <c r="D47" s="110">
        <f>+B5</f>
        <v>0</v>
      </c>
      <c r="E47" s="110"/>
      <c r="F47" s="110"/>
      <c r="G47" s="111"/>
      <c r="H47" s="18"/>
      <c r="I47" s="19"/>
    </row>
    <row r="48" spans="1:19" x14ac:dyDescent="0.2">
      <c r="A48" s="114" t="s">
        <v>32</v>
      </c>
      <c r="B48" s="106"/>
      <c r="C48" s="32">
        <v>0.15</v>
      </c>
      <c r="D48" s="115">
        <f>+D47*C48</f>
        <v>0</v>
      </c>
      <c r="E48" s="116"/>
      <c r="F48" s="116"/>
      <c r="G48" s="117"/>
      <c r="H48" s="18"/>
      <c r="I48" s="19"/>
    </row>
    <row r="49" spans="1:11" x14ac:dyDescent="0.2">
      <c r="A49" s="114" t="s">
        <v>30</v>
      </c>
      <c r="B49" s="106"/>
      <c r="C49" s="32">
        <v>0.05</v>
      </c>
      <c r="D49" s="115">
        <f>+D47*C49</f>
        <v>0</v>
      </c>
      <c r="E49" s="116"/>
      <c r="F49" s="116"/>
      <c r="G49" s="117"/>
      <c r="H49" s="18"/>
      <c r="I49" s="19"/>
    </row>
    <row r="50" spans="1:11" x14ac:dyDescent="0.2">
      <c r="A50" s="118" t="s">
        <v>53</v>
      </c>
      <c r="B50" s="119"/>
      <c r="C50" s="119"/>
      <c r="D50" s="112">
        <v>25</v>
      </c>
      <c r="E50" s="112"/>
      <c r="F50" s="112"/>
      <c r="G50" s="113"/>
      <c r="H50" s="18"/>
      <c r="I50" s="19"/>
    </row>
    <row r="51" spans="1:11" x14ac:dyDescent="0.2">
      <c r="A51" s="108" t="s">
        <v>23</v>
      </c>
      <c r="B51" s="109"/>
      <c r="C51" s="109"/>
      <c r="D51" s="112">
        <v>1</v>
      </c>
      <c r="E51" s="112"/>
      <c r="F51" s="112"/>
      <c r="G51" s="113"/>
      <c r="H51" s="18"/>
      <c r="I51" s="18"/>
    </row>
    <row r="52" spans="1:11" x14ac:dyDescent="0.2">
      <c r="A52" s="114" t="s">
        <v>31</v>
      </c>
      <c r="B52" s="106"/>
      <c r="C52" s="31">
        <v>0.35</v>
      </c>
      <c r="D52" s="20">
        <f>+D61</f>
        <v>0</v>
      </c>
      <c r="E52" s="15">
        <f>+D51*C52</f>
        <v>0.35</v>
      </c>
      <c r="F52" s="7" t="s">
        <v>21</v>
      </c>
      <c r="G52" s="64">
        <f>+E52*D52</f>
        <v>0</v>
      </c>
      <c r="H52" s="18"/>
      <c r="I52" s="18"/>
    </row>
    <row r="53" spans="1:11" x14ac:dyDescent="0.2">
      <c r="A53" s="114" t="s">
        <v>62</v>
      </c>
      <c r="B53" s="106"/>
      <c r="C53" s="31">
        <v>0</v>
      </c>
      <c r="D53" s="20">
        <f>+D61</f>
        <v>0</v>
      </c>
      <c r="E53" s="16">
        <f>D51*C53</f>
        <v>0</v>
      </c>
      <c r="F53" s="7" t="s">
        <v>21</v>
      </c>
      <c r="G53" s="64">
        <f>+E53*D53</f>
        <v>0</v>
      </c>
      <c r="H53" s="18"/>
      <c r="I53" s="18"/>
    </row>
    <row r="54" spans="1:11" x14ac:dyDescent="0.2">
      <c r="A54" s="114" t="s">
        <v>56</v>
      </c>
      <c r="B54" s="106"/>
      <c r="C54" s="31">
        <v>0.25</v>
      </c>
      <c r="D54" s="20">
        <f>+B5</f>
        <v>0</v>
      </c>
      <c r="E54" s="16">
        <f>IFERROR(((G21+G45)/B5)*C54,0)</f>
        <v>0</v>
      </c>
      <c r="F54" s="7" t="s">
        <v>21</v>
      </c>
      <c r="G54" s="64">
        <f>+E54*D54</f>
        <v>0</v>
      </c>
      <c r="H54" s="18"/>
      <c r="I54" s="18"/>
    </row>
    <row r="55" spans="1:11" x14ac:dyDescent="0.2">
      <c r="A55" s="114" t="s">
        <v>57</v>
      </c>
      <c r="B55" s="106"/>
      <c r="C55" s="31">
        <v>0.25</v>
      </c>
      <c r="D55" s="20">
        <f>+B5</f>
        <v>0</v>
      </c>
      <c r="E55" s="16">
        <f>IFERROR((G45/B5)*C55,0)</f>
        <v>0</v>
      </c>
      <c r="F55" s="7" t="s">
        <v>21</v>
      </c>
      <c r="G55" s="64">
        <f>+E55*D55</f>
        <v>0</v>
      </c>
      <c r="H55" s="18"/>
      <c r="I55" s="18"/>
    </row>
    <row r="56" spans="1:11" x14ac:dyDescent="0.2">
      <c r="A56" s="114" t="s">
        <v>58</v>
      </c>
      <c r="B56" s="106"/>
      <c r="C56" s="31">
        <v>0.25</v>
      </c>
      <c r="D56" s="20">
        <f>+B5</f>
        <v>0</v>
      </c>
      <c r="E56" s="16">
        <f>IFERROR((AVERAGE((G21+G45),G45)/B5)*C56,0)</f>
        <v>0</v>
      </c>
      <c r="F56" s="7" t="s">
        <v>21</v>
      </c>
      <c r="G56" s="64">
        <f>+E56*D56</f>
        <v>0</v>
      </c>
      <c r="H56" s="18"/>
      <c r="I56" s="18"/>
    </row>
    <row r="57" spans="1:11" x14ac:dyDescent="0.2">
      <c r="A57" s="108" t="s">
        <v>59</v>
      </c>
      <c r="B57" s="109"/>
      <c r="C57" s="109"/>
      <c r="D57" s="109"/>
      <c r="E57" s="109"/>
      <c r="F57" s="109"/>
      <c r="G57" s="64">
        <f>(G21+G45)+G53+G54</f>
        <v>0</v>
      </c>
      <c r="H57" s="18"/>
      <c r="I57" s="18"/>
    </row>
    <row r="58" spans="1:11" x14ac:dyDescent="0.2">
      <c r="A58" s="108" t="s">
        <v>60</v>
      </c>
      <c r="B58" s="109"/>
      <c r="C58" s="109"/>
      <c r="D58" s="109"/>
      <c r="E58" s="109"/>
      <c r="F58" s="109"/>
      <c r="G58" s="64">
        <f>+G45+G53+G55</f>
        <v>0</v>
      </c>
      <c r="H58" s="18"/>
      <c r="I58" s="18"/>
    </row>
    <row r="59" spans="1:11" x14ac:dyDescent="0.2">
      <c r="A59" s="108" t="s">
        <v>61</v>
      </c>
      <c r="B59" s="109"/>
      <c r="C59" s="109"/>
      <c r="D59" s="109"/>
      <c r="E59" s="109"/>
      <c r="F59" s="109"/>
      <c r="G59" s="64">
        <f>IFERROR(AVERAGE((G21+G45),G45)+G53+G56,0)</f>
        <v>0</v>
      </c>
      <c r="H59" s="18"/>
      <c r="I59" s="18"/>
    </row>
    <row r="60" spans="1:11" x14ac:dyDescent="0.2">
      <c r="A60" s="65"/>
      <c r="B60" s="21"/>
      <c r="C60" s="22"/>
      <c r="D60" s="23"/>
      <c r="E60" s="23"/>
      <c r="F60" s="18"/>
      <c r="G60" s="66"/>
      <c r="H60" s="18"/>
      <c r="I60" s="18"/>
    </row>
    <row r="61" spans="1:11" x14ac:dyDescent="0.2">
      <c r="A61" s="108" t="s">
        <v>45</v>
      </c>
      <c r="B61" s="109"/>
      <c r="C61" s="109"/>
      <c r="D61" s="24">
        <f>+D47-(D48+D49)</f>
        <v>0</v>
      </c>
      <c r="E61" s="25">
        <f>+D51-E52</f>
        <v>0.65</v>
      </c>
      <c r="F61" s="26" t="s">
        <v>36</v>
      </c>
      <c r="G61" s="67">
        <f>+D61*E61</f>
        <v>0</v>
      </c>
      <c r="H61" s="53"/>
      <c r="I61" s="18"/>
    </row>
    <row r="62" spans="1:11" x14ac:dyDescent="0.2">
      <c r="A62" s="133" t="s">
        <v>46</v>
      </c>
      <c r="B62" s="134"/>
      <c r="C62" s="134"/>
      <c r="D62" s="134"/>
      <c r="E62" s="134"/>
      <c r="F62" s="135"/>
      <c r="G62" s="68">
        <f>IFERROR(G61-((G21+G45)+G53+G54),0)</f>
        <v>0</v>
      </c>
      <c r="H62" s="54"/>
      <c r="I62" s="33">
        <f>IFERROR(K62,0)</f>
        <v>0</v>
      </c>
      <c r="K62" s="13">
        <f>IFERROR(G62/G57,)</f>
        <v>0</v>
      </c>
    </row>
    <row r="63" spans="1:11" x14ac:dyDescent="0.2">
      <c r="A63" s="108" t="s">
        <v>47</v>
      </c>
      <c r="B63" s="109"/>
      <c r="C63" s="109"/>
      <c r="D63" s="109"/>
      <c r="E63" s="109"/>
      <c r="F63" s="109"/>
      <c r="G63" s="68">
        <f>IFERROR(G61-(G45+G53+G55),0)</f>
        <v>0</v>
      </c>
      <c r="H63" s="54"/>
      <c r="I63" s="33">
        <f>IFERROR(K63,0)</f>
        <v>0</v>
      </c>
      <c r="K63" s="13">
        <f>IFERROR(G63/G58,0)</f>
        <v>0</v>
      </c>
    </row>
    <row r="64" spans="1:11" x14ac:dyDescent="0.2">
      <c r="A64" s="108" t="s">
        <v>54</v>
      </c>
      <c r="B64" s="109"/>
      <c r="C64" s="109"/>
      <c r="D64" s="109"/>
      <c r="E64" s="109"/>
      <c r="F64" s="109"/>
      <c r="G64" s="68">
        <f>IFERROR(G61-(AVERAGE((G21+G45),G45)+G53+G56),0)</f>
        <v>0</v>
      </c>
      <c r="H64" s="18"/>
      <c r="I64" s="33">
        <f>IFERROR(K64,0)</f>
        <v>0</v>
      </c>
      <c r="K64" s="13">
        <f>IFERROR(G64/G59,0)</f>
        <v>0</v>
      </c>
    </row>
    <row r="65" spans="1:9" x14ac:dyDescent="0.2">
      <c r="A65" s="69"/>
      <c r="B65" s="43">
        <f t="shared" ref="B65:G65" si="3">B5</f>
        <v>0</v>
      </c>
      <c r="C65" s="44">
        <f t="shared" si="3"/>
        <v>0</v>
      </c>
      <c r="D65" s="44">
        <f t="shared" si="3"/>
        <v>0</v>
      </c>
      <c r="E65" s="44">
        <f t="shared" si="3"/>
        <v>0</v>
      </c>
      <c r="F65" s="44">
        <f t="shared" si="3"/>
        <v>0</v>
      </c>
      <c r="G65" s="70">
        <f t="shared" si="3"/>
        <v>0</v>
      </c>
      <c r="H65" s="18"/>
      <c r="I65" s="36"/>
    </row>
    <row r="66" spans="1:9" x14ac:dyDescent="0.2">
      <c r="A66" s="71" t="s">
        <v>48</v>
      </c>
      <c r="B66" s="35">
        <f>IFERROR((G21+G45)/B5,0)</f>
        <v>0</v>
      </c>
      <c r="C66" s="5">
        <f>+IFERROR((SUM($G$24:$G$28)/$B$5)+(SUM($G$29:$G$33)/C$5)+(IF(C5&gt;=1000,(SUM($G$34:$G$38)/$B$5),((SUM($G$34:$G$38)/$B$5)*1000/C$5)))+(SUM($G$39:$G$44)/$B$5)+($G$21/C$5)+(F45/B$5),0)</f>
        <v>0</v>
      </c>
      <c r="D66" s="5">
        <f>+IFERROR((SUM($G$24:$G$28)/$B$5)+(SUM($G$29:$G$33)/D$5)+(IF(D5&gt;=1000,(SUM($G$34:$G$38)/$B$5),((SUM($G$34:$G$38)/$B$5)*1000/D$5)))+(SUM($G$39:$G$44)/$B$5)+($G$21/D$5)+(F45/B$5),0)</f>
        <v>0</v>
      </c>
      <c r="E66" s="5">
        <f>+IFERROR((SUM($G$24:$G$28)/$B$5)+(SUM($G$29:$G$33)/E$5)+(IF(E5&gt;=1000,(SUM($G$34:$G$38)/$B$5),((SUM($G$34:$G$38)/$B$5)*1000/E$5)))+(SUM($G$39:$G$44)/$B$5)+($G$21/E$5)+(F45/B$5),0)</f>
        <v>0</v>
      </c>
      <c r="F66" s="5">
        <f>+IFERROR((SUM($G$24:$G$28)/$B$5)+(SUM($G$29:$G$33)/F$5)+(IF(F5&gt;=1000,(SUM($G$34:$G$38)/$B$5),((SUM($G$34:$G$38)/$B$5)*1000/F$5)))+(SUM($G$39:$G$44)/$B$5)+($G$21/F$5)+(F45/B$5),0)</f>
        <v>0</v>
      </c>
      <c r="G66" s="48">
        <f>+IFERROR((SUM($G$24:$G$28)/$B$5)+(SUM($G$29:$G$33)/G$5)+(IF(G5&gt;=1000,(SUM($G$34:$G$38)/$B$5),((SUM($G$34:$G$38)/$B$5)*1000/G$5)))+(SUM($G$39:$G$44)/$B$5)+($G$21/G$5)+(F45/B$5),0)</f>
        <v>0</v>
      </c>
      <c r="H66" s="1"/>
      <c r="I66" s="1"/>
    </row>
    <row r="67" spans="1:9" x14ac:dyDescent="0.2">
      <c r="A67" s="71" t="s">
        <v>49</v>
      </c>
      <c r="B67" s="34">
        <f>IFERROR((G45-IF(OR(C29="PS",C29="CTP"),G29,0)-IF(OR(C30="PS",C30="CTP"),G30,0)-IF(OR(C31="PS",C31="CTP"),G31,0)-IF(OR(C32="PS",C32="CTP"),G32,0)-IF(OR(C33="PS",C33="CTP"),G33,0))/B5,0)</f>
        <v>0</v>
      </c>
      <c r="C67" s="5">
        <f>IFERROR((SUM($G$24:$G$28)/$B$5)+((IF(OR($C$29="PS",$C$29="CTP"),0,$G$29)+IF(OR($C$30="PS",$C$30="CTP"),0,$G$30)+IF(OR($C$31="PS",$C$31="CTP"),0,$G$31)+IF(OR($C$32="PS",$C$32="CTP"),0,$G$32)+IF(OR($C$33="PS",$C$33="CTP"),0,$G$33))/C$5)+(IF(C5&gt;=1000,(SUM($G$34:$G$38)/$B$5),((SUM($G$34:$G$38)/$B$5)*1000/C$5)))+(SUM($G$39:$G$44)/$B$5)+($G$21/C$5)+(F45/B$5),0)</f>
        <v>0</v>
      </c>
      <c r="D67" s="5">
        <f>IFERROR((SUM($G$24:$G$28)/$B$5)+((IF(OR($C$29="PS",$C$29="CTP"),0,$G$29)+IF(OR($C$30="PS",$C$30="CTP"),0,$G$30)+IF(OR($C$31="PS",$C$31="CTP"),0,$G$31)+IF(OR($C$32="PS",$C$32="CTP"),0,$G$32)+IF(OR($C$33="PS",$C$33="CTP"),0,$G$33))/D$5)+(IF(D5&gt;=1000,(SUM($G$34:$G$38)/$B$5),((SUM($G$34:$G$38)/$B$5)*1000/D$5)))+(SUM($G$39:$G$44)/$B$5)+($G$21/D$5)+(F45/B$5),0)</f>
        <v>0</v>
      </c>
      <c r="E67" s="5">
        <f>IFERROR((SUM($G$24:$G$28)/$B$5)+((IF(OR($C$29="PS",$C$29="CTP"),0,$G$29)+IF(OR($C$30="PS",$C$30="CTP"),0,$G$30)+IF(OR($C$31="PS",$C$31="CTP"),0,$G$31)+IF(OR($C$32="PS",$C$32="CTP"),0,$G$32)+IF(OR($C$33="PS",$C$33="CTP"),0,$G$33))/E$5)+(IF(E5&gt;=1000,(SUM($G$34:$G$38)/$B$5),((SUM($G$34:$G$38)/$B$5)*1000/E$5)))+(SUM($G$39:$G$44)/$B$5)+($G$21/E$5)+(F45/B$5),0)</f>
        <v>0</v>
      </c>
      <c r="F67" s="5">
        <f>IFERROR((SUM($G$24:$G$28)/$B$5)+((IF(OR($C$29="PS",$C$29="CTP"),0,$G$29)+IF(OR($C$30="PS",$C$30="CTP"),0,$G$30)+IF(OR($C$31="PS",$C$31="CTP"),0,$G$31)+IF(OR($C$32="PS",$C$32="CTP"),0,$G$32)+IF(OR($C$33="PS",$C$33="CTP"),0,$G$33))/F$5)+(IF(F5&gt;=1000,(SUM($G$34:$G$38)/$B$5),((SUM($G$34:$G$38)/$B$5)*1000/F$5)))+(SUM($G$39:$G$44)/$B$5)+($G$21/F$5)+(F45/B$5),0)</f>
        <v>0</v>
      </c>
      <c r="G67" s="48">
        <f>IFERROR((SUM($G$24:$G$28)/$B$5)+((IF(OR($C$29="PS",$C$29="CTP"),0,$G$29)+IF(OR($C$30="PS",$C$30="CTP"),0,$G$30)+IF(OR($C$31="PS",$C$31="CTP"),0,$G$31)+IF(OR($C$32="PS",$C$32="CTP"),0,$G$32)+IF(OR($C$33="PS",$C$33="CTP"),0,$G$33))/G$5)+(IF(G5&gt;=1000,(SUM($G$34:$G$38)/$B$5),((SUM($G$34:$G$38)/$B$5)*1000/G$5)))+(SUM($G$39:$G$44)/$B$5)+($G$21/G$5)+(F45/B$5),0)</f>
        <v>0</v>
      </c>
      <c r="H67" s="1"/>
      <c r="I67" s="1"/>
    </row>
    <row r="68" spans="1:9" x14ac:dyDescent="0.2">
      <c r="A68" s="71" t="s">
        <v>55</v>
      </c>
      <c r="B68" s="34">
        <f>+AVERAGE(B66,B67)</f>
        <v>0</v>
      </c>
      <c r="C68" s="34">
        <f t="shared" ref="C68:G68" si="4">+AVERAGE(C66,C67)</f>
        <v>0</v>
      </c>
      <c r="D68" s="34">
        <f t="shared" si="4"/>
        <v>0</v>
      </c>
      <c r="E68" s="34">
        <f t="shared" si="4"/>
        <v>0</v>
      </c>
      <c r="F68" s="34">
        <f t="shared" si="4"/>
        <v>0</v>
      </c>
      <c r="G68" s="72">
        <f t="shared" si="4"/>
        <v>0</v>
      </c>
      <c r="H68" s="1"/>
      <c r="I68" s="1"/>
    </row>
    <row r="69" spans="1:9" ht="18.75" customHeight="1" x14ac:dyDescent="0.2">
      <c r="A69" s="73"/>
      <c r="B69" s="74"/>
      <c r="C69" s="74"/>
      <c r="D69" s="74"/>
      <c r="E69" s="99" t="s">
        <v>50</v>
      </c>
      <c r="F69" s="100"/>
      <c r="G69" s="101"/>
    </row>
    <row r="70" spans="1:9" x14ac:dyDescent="0.2">
      <c r="A70" s="75"/>
      <c r="B70" s="76"/>
      <c r="C70" s="76"/>
      <c r="D70" s="77"/>
      <c r="E70" s="99"/>
      <c r="F70" s="100"/>
      <c r="G70" s="101"/>
    </row>
    <row r="71" spans="1:9" ht="13.5" thickBot="1" x14ac:dyDescent="0.25">
      <c r="A71" s="78"/>
      <c r="B71" s="79"/>
      <c r="C71" s="79"/>
      <c r="D71" s="80"/>
      <c r="E71" s="102"/>
      <c r="F71" s="103"/>
      <c r="G71" s="104"/>
    </row>
  </sheetData>
  <sheetProtection algorithmName="SHA-512" hashValue="RBcVGEuER+oJBslio2eaHxQkMXBfkxFMkR6S4L5QMeyTkESZb65t7RtBB/mf7i/OOH+aMjT4n8K+4WCVIu0haQ==" saltValue="/yfsIwloujwJErIXBvH8VQ==" spinCount="100000" sheet="1" objects="1" scenarios="1"/>
  <mergeCells count="78">
    <mergeCell ref="B34:C34"/>
    <mergeCell ref="A1:G1"/>
    <mergeCell ref="A62:F62"/>
    <mergeCell ref="A63:F63"/>
    <mergeCell ref="A52:B52"/>
    <mergeCell ref="A53:B53"/>
    <mergeCell ref="A54:B54"/>
    <mergeCell ref="A2:G2"/>
    <mergeCell ref="B3:G3"/>
    <mergeCell ref="B4:G4"/>
    <mergeCell ref="B6:G6"/>
    <mergeCell ref="A48:B48"/>
    <mergeCell ref="D48:G48"/>
    <mergeCell ref="A23:G23"/>
    <mergeCell ref="A17:C17"/>
    <mergeCell ref="D43:F43"/>
    <mergeCell ref="B7:G7"/>
    <mergeCell ref="B8:G8"/>
    <mergeCell ref="B10:G10"/>
    <mergeCell ref="A12:G12"/>
    <mergeCell ref="A21:F21"/>
    <mergeCell ref="B9:G9"/>
    <mergeCell ref="A19:C19"/>
    <mergeCell ref="A20:C20"/>
    <mergeCell ref="A13:C13"/>
    <mergeCell ref="A14:C14"/>
    <mergeCell ref="A15:C15"/>
    <mergeCell ref="A16:C16"/>
    <mergeCell ref="A18:C18"/>
    <mergeCell ref="A43:C43"/>
    <mergeCell ref="A56:B56"/>
    <mergeCell ref="A59:F59"/>
    <mergeCell ref="A55:B55"/>
    <mergeCell ref="A41:C41"/>
    <mergeCell ref="A42:C42"/>
    <mergeCell ref="B35:C35"/>
    <mergeCell ref="B36:C36"/>
    <mergeCell ref="A39:C39"/>
    <mergeCell ref="A40:C40"/>
    <mergeCell ref="B37:C37"/>
    <mergeCell ref="B38:C38"/>
    <mergeCell ref="E69:G71"/>
    <mergeCell ref="A44:C44"/>
    <mergeCell ref="A51:C51"/>
    <mergeCell ref="D47:G47"/>
    <mergeCell ref="D51:G51"/>
    <mergeCell ref="A49:B49"/>
    <mergeCell ref="D49:G49"/>
    <mergeCell ref="A50:C50"/>
    <mergeCell ref="D50:G50"/>
    <mergeCell ref="A61:C61"/>
    <mergeCell ref="A47:C47"/>
    <mergeCell ref="A64:F64"/>
    <mergeCell ref="A58:F58"/>
    <mergeCell ref="A57:F57"/>
    <mergeCell ref="J12:S12"/>
    <mergeCell ref="L21:N21"/>
    <mergeCell ref="L22:N22"/>
    <mergeCell ref="L23:N23"/>
    <mergeCell ref="L13:N13"/>
    <mergeCell ref="L14:N14"/>
    <mergeCell ref="L15:N15"/>
    <mergeCell ref="L16:N16"/>
    <mergeCell ref="L17:N17"/>
    <mergeCell ref="L18:N18"/>
    <mergeCell ref="L19:N19"/>
    <mergeCell ref="L20:N20"/>
    <mergeCell ref="L24:N24"/>
    <mergeCell ref="L25:N25"/>
    <mergeCell ref="L26:N26"/>
    <mergeCell ref="L27:N27"/>
    <mergeCell ref="L28:N28"/>
    <mergeCell ref="L34:N34"/>
    <mergeCell ref="L29:N29"/>
    <mergeCell ref="L30:N30"/>
    <mergeCell ref="L31:N31"/>
    <mergeCell ref="L32:N32"/>
    <mergeCell ref="L33:N33"/>
  </mergeCells>
  <printOptions horizontalCentered="1"/>
  <pageMargins left="0.28000000000000003" right="0.26" top="0.31" bottom="0.28999999999999998" header="0.3" footer="0.3"/>
  <pageSetup paperSize="9" scale="90" fitToWidth="0" orientation="portrait" r:id="rId1"/>
  <headerFooter>
    <oddHeader>&amp;L&amp;T&amp;R&amp;D</oddHeader>
  </headerFooter>
  <colBreaks count="1" manualBreakCount="1">
    <brk id="9" max="70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CalculatePriceFirstPrint">
                <anchor moveWithCells="1" sizeWithCells="1">
                  <from>
                    <xdr:col>8</xdr:col>
                    <xdr:colOff>19050</xdr:colOff>
                    <xdr:row>49</xdr:row>
                    <xdr:rowOff>0</xdr:rowOff>
                  </from>
                  <to>
                    <xdr:col>11</xdr:col>
                    <xdr:colOff>438150</xdr:colOff>
                    <xdr:row>50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CalculatePriceRePrint">
                <anchor moveWithCells="1" sizeWithCells="1">
                  <from>
                    <xdr:col>8</xdr:col>
                    <xdr:colOff>19050</xdr:colOff>
                    <xdr:row>50</xdr:row>
                    <xdr:rowOff>47625</xdr:rowOff>
                  </from>
                  <to>
                    <xdr:col>11</xdr:col>
                    <xdr:colOff>438150</xdr:colOff>
                    <xdr:row>51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heet1.CalculatePriceAverage">
                <anchor moveWithCells="1" sizeWithCells="1">
                  <from>
                    <xdr:col>8</xdr:col>
                    <xdr:colOff>19050</xdr:colOff>
                    <xdr:row>51</xdr:row>
                    <xdr:rowOff>95250</xdr:rowOff>
                  </from>
                  <to>
                    <xdr:col>11</xdr:col>
                    <xdr:colOff>438150</xdr:colOff>
                    <xdr:row>52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Vishesh Gupta</dc:creator>
  <cp:lastModifiedBy>Manoj Kumar Mathuria</cp:lastModifiedBy>
  <cp:lastPrinted>2019-10-23T10:15:59Z</cp:lastPrinted>
  <dcterms:created xsi:type="dcterms:W3CDTF">2009-05-09T07:07:53Z</dcterms:created>
  <dcterms:modified xsi:type="dcterms:W3CDTF">2020-07-29T07:22:25Z</dcterms:modified>
</cp:coreProperties>
</file>